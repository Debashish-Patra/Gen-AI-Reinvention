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lts" sheetId="1" state="visible" r:id="rId3"/>
    <sheet name="Inputs" sheetId="2" state="visible" r:id="rId4"/>
    <sheet name="Model" sheetId="3" state="visible" r:id="rId5"/>
    <sheet name="How it wor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<sst xmlns="http://schemas.openxmlformats.org/spreadsheetml/2006/main" count="74" uniqueCount="72">
  <si>
    <t xml:space="preserve">Results</t>
  </si>
  <si>
    <t xml:space="preserve">Calculated from Inputs. Hurdle test at the bottom.</t>
  </si>
  <si>
    <t xml:space="preserve">Result</t>
  </si>
  <si>
    <t xml:space="preserve">Pessimistic</t>
  </si>
  <si>
    <t xml:space="preserve">Optimistic</t>
  </si>
  <si>
    <t xml:space="preserve">Total cost (36 months)</t>
  </si>
  <si>
    <t xml:space="preserve">Total benefit (36 months)</t>
  </si>
  <si>
    <t xml:space="preserve">Net present value</t>
  </si>
  <si>
    <t xml:space="preserve">Return on investment</t>
  </si>
  <si>
    <t xml:space="preserve">Breakeven month</t>
  </si>
  <si>
    <t xml:space="preserve">Annual value at steady state</t>
  </si>
  <si>
    <t xml:space="preserve">Hurdle test</t>
  </si>
  <si>
    <t xml:space="preserve">Pessimistic NPV above zero?</t>
  </si>
  <si>
    <t xml:space="preserve">Pessimistic breakeven within hurdle?</t>
  </si>
  <si>
    <t xml:space="preserve">Clears the hurdle?</t>
  </si>
  <si>
    <t xml:space="preserve">3. Business case model</t>
  </si>
  <si>
    <t xml:space="preserve">Use in Prioritize. Fill in the amber cells; Model and Results update. Figures are the fictional retail example.</t>
  </si>
  <si>
    <t xml:space="preserve">Input</t>
  </si>
  <si>
    <t xml:space="preserve">Notes</t>
  </si>
  <si>
    <t xml:space="preserve">Volume per month (assets, campaigns, tickets)</t>
  </si>
  <si>
    <t xml:space="preserve">Units produced each month</t>
  </si>
  <si>
    <t xml:space="preserve">Cost per unit today</t>
  </si>
  <si>
    <t xml:space="preserve">Currency per unit</t>
  </si>
  <si>
    <t xml:space="preserve">Share of volume AI-assisted, year 1 after launch</t>
  </si>
  <si>
    <t xml:space="preserve">Share of volume AI-assisted, year 2</t>
  </si>
  <si>
    <t xml:space="preserve">Share of volume AI-assisted, year 3</t>
  </si>
  <si>
    <t xml:space="preserve">Applies to year 3 onward</t>
  </si>
  <si>
    <t xml:space="preserve">Cost saved per AI-assisted unit</t>
  </si>
  <si>
    <t xml:space="preserve">Share of unit cost</t>
  </si>
  <si>
    <t xml:space="preserve">Revenue affected per year</t>
  </si>
  <si>
    <t xml:space="preserve">For example email-driven revenue</t>
  </si>
  <si>
    <t xml:space="preserve">Margin on that revenue</t>
  </si>
  <si>
    <t xml:space="preserve">Contribution margin</t>
  </si>
  <si>
    <t xml:space="preserve">Uplift at full effect</t>
  </si>
  <si>
    <t xml:space="preserve">Share of revenue</t>
  </si>
  <si>
    <t xml:space="preserve">Share of uplift reached in year 1</t>
  </si>
  <si>
    <t xml:space="preserve">Then 100% from year 2</t>
  </si>
  <si>
    <t xml:space="preserve">Build cost (total)</t>
  </si>
  <si>
    <t xml:space="preserve">Build months</t>
  </si>
  <si>
    <t xml:space="preserve">Benefits start the month after build</t>
  </si>
  <si>
    <t xml:space="preserve">Run cost per year, from launch</t>
  </si>
  <si>
    <t xml:space="preserve">Discount rate</t>
  </si>
  <si>
    <t xml:space="preserve">Annual</t>
  </si>
  <si>
    <t xml:space="preserve">Hurdle: breakeven within (months)</t>
  </si>
  <si>
    <t xml:space="preserve">Agree this before you calculate</t>
  </si>
  <si>
    <t xml:space="preserve">Monthly model</t>
  </si>
  <si>
    <t xml:space="preserve">36 months. Do not edit; change the Inputs sheet.</t>
  </si>
  <si>
    <t xml:space="preserve">Month</t>
  </si>
  <si>
    <t xml:space="preserve">Year index</t>
  </si>
  <si>
    <t xml:space="preserve">Pess: AI share</t>
  </si>
  <si>
    <t xml:space="preserve">Pess: cost saved</t>
  </si>
  <si>
    <t xml:space="preserve">Pess: uplift</t>
  </si>
  <si>
    <t xml:space="preserve">Pess: cost</t>
  </si>
  <si>
    <t xml:space="preserve">Pess: net</t>
  </si>
  <si>
    <t xml:space="preserve">Pess: cumulative</t>
  </si>
  <si>
    <t xml:space="preserve">Pess: discounted net</t>
  </si>
  <si>
    <t xml:space="preserve">Pess: breakeven flag</t>
  </si>
  <si>
    <t xml:space="preserve">Opt: AI share</t>
  </si>
  <si>
    <t xml:space="preserve">Opt: cost saved</t>
  </si>
  <si>
    <t xml:space="preserve">Opt: uplift</t>
  </si>
  <si>
    <t xml:space="preserve">Opt: cost</t>
  </si>
  <si>
    <t xml:space="preserve">Opt: net</t>
  </si>
  <si>
    <t xml:space="preserve">Opt: cumulative</t>
  </si>
  <si>
    <t xml:space="preserve">Opt: discounted net</t>
  </si>
  <si>
    <t xml:space="preserve">Opt: breakeven flag</t>
  </si>
  <si>
    <t xml:space="preserve">How the model works</t>
  </si>
  <si>
    <t xml:space="preserve">Build: build cost is spread evenly over the build months. Benefits start the month after.</t>
  </si>
  <si>
    <t xml:space="preserve">Cost saved per month = volume x cost per unit x share AI-assisted x cost saved per unit. The share steps up each year after launch.</t>
  </si>
  <si>
    <t xml:space="preserve">Uplift per month = revenue x margin x uplift / 12. Year 1 after launch reaches only the share set in Inputs.</t>
  </si>
  <si>
    <t xml:space="preserve">Run cost is charged monthly from launch. NPV discounts each month at the annual rate. ROI = (benefit - cost) / cost.</t>
  </si>
  <si>
    <t xml:space="preserve">Breakeven is the first month in which cumulative net value is above zero. It uses undiscounted values.</t>
  </si>
  <si>
    <t xml:space="preserve">Defaults are the fictional retail example from the marketing page. Overwrite them with your own.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</si>
</sst>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\x"/>
    <numFmt numFmtId="167" formatCode="0.0%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20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203A"/>
        <bgColor rgb="FF333333"/>
      </patternFill>
    </fill>
    <fill>
      <patternFill patternType="solid">
        <fgColor rgb="FFE4EEF0"/>
        <bgColor rgb="FFFFF1D6"/>
      </patternFill>
    </fill>
    <fill>
      <patternFill patternType="solid">
        <fgColor rgb="FFFFF1D6"/>
        <bgColor rgb="FFE4EE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1D6"/>
      <rgbColor rgb="FFE4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22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SUM(Model!F5:F40)</f>
        <v>1500000</v>
      </c>
      <c r="C5" s="5" t="n">
        <f aca="false">SUM(Model!N5:N40)</f>
        <v>1500000</v>
      </c>
    </row>
    <row r="6" customFormat="false" ht="15" hidden="false" customHeight="false" outlineLevel="0" collapsed="false">
      <c r="A6" s="4" t="s">
        <v>6</v>
      </c>
      <c r="B6" s="5" t="n">
        <f aca="false">SUM(Model!D5:D40)+SUM(Model!E5:E40)</f>
        <v>2001000</v>
      </c>
      <c r="C6" s="5" t="n">
        <f aca="false">SUM(Model!L5:L40)+SUM(Model!M5:M40)</f>
        <v>4017000</v>
      </c>
    </row>
    <row r="7" customFormat="false" ht="15" hidden="false" customHeight="false" outlineLevel="0" collapsed="false">
      <c r="A7" s="4" t="s">
        <v>7</v>
      </c>
      <c r="B7" s="5" t="n">
        <f aca="false">SUM(Model!I5:I40)</f>
        <v>252678.373841803</v>
      </c>
      <c r="C7" s="5" t="n">
        <f aca="false">SUM(Model!Q5:Q40)</f>
        <v>1874228.44734645</v>
      </c>
    </row>
    <row r="8" customFormat="false" ht="15" hidden="false" customHeight="false" outlineLevel="0" collapsed="false">
      <c r="A8" s="4" t="s">
        <v>8</v>
      </c>
      <c r="B8" s="6" t="n">
        <f aca="false">(B6-B5)/B5</f>
        <v>0.334</v>
      </c>
      <c r="C8" s="6" t="n">
        <f aca="false">(C6-C5)/C5</f>
        <v>1.678</v>
      </c>
    </row>
    <row r="9" customFormat="false" ht="15" hidden="false" customHeight="false" outlineLevel="0" collapsed="false">
      <c r="A9" s="4" t="s">
        <v>9</v>
      </c>
      <c r="B9" s="5" t="n">
        <f aca="false">IF(COUNT(Model!J5:J40)=0,"None in 36 months",MIN(Model!J5:J40))</f>
        <v>29</v>
      </c>
      <c r="C9" s="5" t="n">
        <f aca="false">IF(COUNT(Model!R5:R40)=0,"None in 36 months",MIN(Model!R5:R40))</f>
        <v>19</v>
      </c>
    </row>
    <row r="10" customFormat="false" ht="15" hidden="false" customHeight="false" outlineLevel="0" collapsed="false">
      <c r="A10" s="4" t="s">
        <v>10</v>
      </c>
      <c r="B10" s="5" t="n">
        <f aca="false">Inputs!B5*12*Inputs!B6*Inputs!B9*Inputs!B10+Inputs!B11*Inputs!B12*Inputs!B13</f>
        <v>1158000</v>
      </c>
      <c r="C10" s="5" t="n">
        <f aca="false">Inputs!C5*12*Inputs!C6*Inputs!C9*Inputs!C10+Inputs!C11*Inputs!C12*Inputs!C13</f>
        <v>2157000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8" t="s">
        <v>12</v>
      </c>
      <c r="B13" s="4" t="str">
        <f aca="false">IF(B7&gt;0,"Yes","No")</f>
        <v>Yes</v>
      </c>
    </row>
    <row r="14" customFormat="false" ht="15" hidden="false" customHeight="false" outlineLevel="0" collapsed="false">
      <c r="A14" s="8" t="s">
        <v>13</v>
      </c>
      <c r="B14" s="4" t="str">
        <f aca="false">IF(ISNUMBER(B9),IF(B9&lt;=Inputs!B19,"Yes","No"),"No")</f>
        <v>Yes</v>
      </c>
    </row>
    <row r="15" customFormat="false" ht="15" hidden="false" customHeight="false" outlineLevel="0" collapsed="false">
      <c r="A15" s="8" t="s">
        <v>14</v>
      </c>
      <c r="B15" s="4" t="str">
        <f aca="false">IF(AND(B13="Yes",B14="Yes"),"GO: clears the hurdle","FIX or STOP: does not clear")</f>
        <v>GO: clears the hurdle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31.5" hidden="false" customHeight="true" outlineLevel="0" collapsed="false">
      <c r="A4" s="3" t="s">
        <v>17</v>
      </c>
      <c r="B4" s="3" t="s">
        <v>3</v>
      </c>
      <c r="C4" s="3" t="s">
        <v>4</v>
      </c>
      <c r="D4" s="3" t="s">
        <v>18</v>
      </c>
    </row>
    <row r="5" customFormat="false" ht="15" hidden="false" customHeight="false" outlineLevel="0" collapsed="false">
      <c r="A5" s="9" t="s">
        <v>19</v>
      </c>
      <c r="B5" s="10" t="n">
        <v>15000</v>
      </c>
      <c r="C5" s="10" t="n">
        <v>15000</v>
      </c>
      <c r="D5" s="9" t="s">
        <v>20</v>
      </c>
    </row>
    <row r="6" customFormat="false" ht="15" hidden="false" customHeight="false" outlineLevel="0" collapsed="false">
      <c r="A6" s="9" t="s">
        <v>21</v>
      </c>
      <c r="B6" s="10" t="n">
        <v>20</v>
      </c>
      <c r="C6" s="10" t="n">
        <v>20</v>
      </c>
      <c r="D6" s="9" t="s">
        <v>22</v>
      </c>
    </row>
    <row r="7" customFormat="false" ht="15" hidden="false" customHeight="false" outlineLevel="0" collapsed="false">
      <c r="A7" s="9" t="s">
        <v>23</v>
      </c>
      <c r="B7" s="11" t="n">
        <v>0.35</v>
      </c>
      <c r="C7" s="11" t="n">
        <v>0.45</v>
      </c>
      <c r="D7" s="9"/>
    </row>
    <row r="8" customFormat="false" ht="15" hidden="false" customHeight="false" outlineLevel="0" collapsed="false">
      <c r="A8" s="9" t="s">
        <v>24</v>
      </c>
      <c r="B8" s="11" t="n">
        <v>0.6</v>
      </c>
      <c r="C8" s="11" t="n">
        <v>0.75</v>
      </c>
      <c r="D8" s="9"/>
    </row>
    <row r="9" customFormat="false" ht="15" hidden="false" customHeight="false" outlineLevel="0" collapsed="false">
      <c r="A9" s="9" t="s">
        <v>25</v>
      </c>
      <c r="B9" s="11" t="n">
        <v>0.8</v>
      </c>
      <c r="C9" s="11" t="n">
        <v>0.9</v>
      </c>
      <c r="D9" s="9" t="s">
        <v>26</v>
      </c>
    </row>
    <row r="10" customFormat="false" ht="15" hidden="false" customHeight="false" outlineLevel="0" collapsed="false">
      <c r="A10" s="9" t="s">
        <v>27</v>
      </c>
      <c r="B10" s="11" t="n">
        <v>0.35</v>
      </c>
      <c r="C10" s="11" t="n">
        <v>0.55</v>
      </c>
      <c r="D10" s="9" t="s">
        <v>28</v>
      </c>
    </row>
    <row r="11" customFormat="false" ht="15" hidden="false" customHeight="false" outlineLevel="0" collapsed="false">
      <c r="A11" s="9" t="s">
        <v>29</v>
      </c>
      <c r="B11" s="10" t="n">
        <v>50000000</v>
      </c>
      <c r="C11" s="10" t="n">
        <v>50000000</v>
      </c>
      <c r="D11" s="9" t="s">
        <v>30</v>
      </c>
    </row>
    <row r="12" customFormat="false" ht="15" hidden="false" customHeight="false" outlineLevel="0" collapsed="false">
      <c r="A12" s="9" t="s">
        <v>31</v>
      </c>
      <c r="B12" s="11" t="n">
        <v>0.3</v>
      </c>
      <c r="C12" s="11" t="n">
        <v>0.3</v>
      </c>
      <c r="D12" s="9" t="s">
        <v>32</v>
      </c>
    </row>
    <row r="13" customFormat="false" ht="15" hidden="false" customHeight="false" outlineLevel="0" collapsed="false">
      <c r="A13" s="9" t="s">
        <v>33</v>
      </c>
      <c r="B13" s="11" t="n">
        <v>0.01</v>
      </c>
      <c r="C13" s="11" t="n">
        <v>0.025</v>
      </c>
      <c r="D13" s="9" t="s">
        <v>34</v>
      </c>
    </row>
    <row r="14" customFormat="false" ht="15" hidden="false" customHeight="false" outlineLevel="0" collapsed="false">
      <c r="A14" s="9" t="s">
        <v>35</v>
      </c>
      <c r="B14" s="12" t="n">
        <v>0.5</v>
      </c>
      <c r="C14" s="12" t="n">
        <v>0.5</v>
      </c>
      <c r="D14" s="9" t="s">
        <v>36</v>
      </c>
    </row>
    <row r="15" customFormat="false" ht="15" hidden="false" customHeight="false" outlineLevel="0" collapsed="false">
      <c r="A15" s="9" t="s">
        <v>37</v>
      </c>
      <c r="B15" s="10" t="n">
        <v>800000</v>
      </c>
      <c r="C15" s="10" t="n">
        <v>800000</v>
      </c>
      <c r="D15" s="9"/>
    </row>
    <row r="16" customFormat="false" ht="15" hidden="false" customHeight="false" outlineLevel="0" collapsed="false">
      <c r="A16" s="9" t="s">
        <v>38</v>
      </c>
      <c r="B16" s="9" t="n">
        <v>6</v>
      </c>
      <c r="C16" s="9" t="n">
        <v>6</v>
      </c>
      <c r="D16" s="9" t="s">
        <v>39</v>
      </c>
    </row>
    <row r="17" customFormat="false" ht="15" hidden="false" customHeight="false" outlineLevel="0" collapsed="false">
      <c r="A17" s="9" t="s">
        <v>40</v>
      </c>
      <c r="B17" s="10" t="n">
        <v>280000</v>
      </c>
      <c r="C17" s="10" t="n">
        <v>280000</v>
      </c>
      <c r="D17" s="9"/>
    </row>
    <row r="18" customFormat="false" ht="15" hidden="false" customHeight="false" outlineLevel="0" collapsed="false">
      <c r="A18" s="9" t="s">
        <v>41</v>
      </c>
      <c r="B18" s="11" t="n">
        <v>0.12</v>
      </c>
      <c r="C18" s="11" t="n">
        <v>0.12</v>
      </c>
      <c r="D18" s="9" t="s">
        <v>42</v>
      </c>
    </row>
    <row r="19" customFormat="false" ht="15" hidden="false" customHeight="false" outlineLevel="0" collapsed="false">
      <c r="A19" s="9" t="s">
        <v>43</v>
      </c>
      <c r="B19" s="9" t="n">
        <v>30</v>
      </c>
      <c r="C19" s="9" t="n">
        <v>30</v>
      </c>
      <c r="D19" s="9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18" min="3" style="0" width="13"/>
  </cols>
  <sheetData>
    <row r="1" customFormat="false" ht="19.7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31.5" hidden="false" customHeight="true" outlineLevel="0" collapsed="false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56</v>
      </c>
      <c r="K4" s="3" t="s">
        <v>57</v>
      </c>
      <c r="L4" s="3" t="s">
        <v>58</v>
      </c>
      <c r="M4" s="3" t="s">
        <v>59</v>
      </c>
      <c r="N4" s="3" t="s">
        <v>60</v>
      </c>
      <c r="O4" s="3" t="s">
        <v>61</v>
      </c>
      <c r="P4" s="3" t="s">
        <v>62</v>
      </c>
      <c r="Q4" s="3" t="s">
        <v>63</v>
      </c>
      <c r="R4" s="3" t="s">
        <v>64</v>
      </c>
    </row>
    <row r="5" customFormat="false" ht="15" hidden="false" customHeight="false" outlineLevel="0" collapsed="false">
      <c r="A5" s="13" t="n">
        <v>1</v>
      </c>
      <c r="B5" s="13" t="n">
        <f aca="false">IF(A5&lt;=Inputs!$B$16,0,MIN(3,INT((A5-Inputs!$B$16-1)/12)+1))</f>
        <v>0</v>
      </c>
      <c r="C5" s="14" t="n">
        <f aca="false">CHOOSE($B5+1,0,Inputs!B7,Inputs!B8,Inputs!B9)</f>
        <v>0</v>
      </c>
      <c r="D5" s="15" t="n">
        <f aca="false">Inputs!B5*Inputs!B6*C5*Inputs!B10</f>
        <v>0</v>
      </c>
      <c r="E5" s="15" t="n">
        <f aca="false">IF($B5=0,0,Inputs!B11*Inputs!B12*Inputs!B13/12*IF($B5=1,Inputs!B14,1))</f>
        <v>0</v>
      </c>
      <c r="F5" s="15" t="n">
        <f aca="false">IF($A5&lt;=Inputs!B16,Inputs!B15/Inputs!B16,Inputs!B17/12)</f>
        <v>133333.333333333</v>
      </c>
      <c r="G5" s="15" t="n">
        <f aca="false">D5+E5-F5</f>
        <v>-133333.333333333</v>
      </c>
      <c r="H5" s="15" t="n">
        <f aca="false">G5</f>
        <v>-133333.333333333</v>
      </c>
      <c r="I5" s="15" t="n">
        <f aca="false">G5/(1+Inputs!B18)^($A5/12)</f>
        <v>-132080.053059067</v>
      </c>
      <c r="J5" s="13" t="str">
        <f aca="false">IF(H5&gt;0,$A5,"")</f>
        <v/>
      </c>
      <c r="K5" s="14" t="n">
        <f aca="false">CHOOSE($B5+1,0,Inputs!C7,Inputs!C8,Inputs!C9)</f>
        <v>0</v>
      </c>
      <c r="L5" s="15" t="n">
        <f aca="false">Inputs!C5*Inputs!C6*K5*Inputs!C10</f>
        <v>0</v>
      </c>
      <c r="M5" s="15" t="n">
        <f aca="false">IF($B5=0,0,Inputs!C11*Inputs!C12*Inputs!C13/12*IF($B5=1,Inputs!C14,1))</f>
        <v>0</v>
      </c>
      <c r="N5" s="15" t="n">
        <f aca="false">IF($A5&lt;=Inputs!C16,Inputs!C15/Inputs!C16,Inputs!C17/12)</f>
        <v>133333.333333333</v>
      </c>
      <c r="O5" s="15" t="n">
        <f aca="false">L5+M5-N5</f>
        <v>-133333.333333333</v>
      </c>
      <c r="P5" s="15" t="n">
        <f aca="false">O5</f>
        <v>-133333.333333333</v>
      </c>
      <c r="Q5" s="15" t="n">
        <f aca="false">O5/(1+Inputs!C18)^($A5/12)</f>
        <v>-132080.053059067</v>
      </c>
      <c r="R5" s="13" t="str">
        <f aca="false">IF(P5&gt;0,$A5,"")</f>
        <v/>
      </c>
    </row>
    <row r="6" customFormat="false" ht="15" hidden="false" customHeight="false" outlineLevel="0" collapsed="false">
      <c r="A6" s="13" t="n">
        <v>2</v>
      </c>
      <c r="B6" s="13" t="n">
        <f aca="false">IF(A6&lt;=Inputs!$B$16,0,MIN(3,INT((A6-Inputs!$B$16-1)/12)+1))</f>
        <v>0</v>
      </c>
      <c r="C6" s="14" t="n">
        <f aca="false">CHOOSE($B6+1,0,Inputs!B7,Inputs!B8,Inputs!B9)</f>
        <v>0</v>
      </c>
      <c r="D6" s="15" t="n">
        <f aca="false">Inputs!B5*Inputs!B6*C6*Inputs!B10</f>
        <v>0</v>
      </c>
      <c r="E6" s="15" t="n">
        <f aca="false">IF($B6=0,0,Inputs!B11*Inputs!B12*Inputs!B13/12*IF($B6=1,Inputs!B14,1))</f>
        <v>0</v>
      </c>
      <c r="F6" s="15" t="n">
        <f aca="false">IF($A6&lt;=Inputs!B16,Inputs!B15/Inputs!B16,Inputs!B17/12)</f>
        <v>133333.333333333</v>
      </c>
      <c r="G6" s="15" t="n">
        <f aca="false">D6+E6-F6</f>
        <v>-133333.333333333</v>
      </c>
      <c r="H6" s="15" t="n">
        <f aca="false">H5+G6</f>
        <v>-266666.666666667</v>
      </c>
      <c r="I6" s="15" t="n">
        <f aca="false">G6/(1+Inputs!B18)^($A6/12)</f>
        <v>-130838.553120645</v>
      </c>
      <c r="J6" s="13" t="str">
        <f aca="false">IF(H6&gt;0,$A6,"")</f>
        <v/>
      </c>
      <c r="K6" s="14" t="n">
        <f aca="false">CHOOSE($B6+1,0,Inputs!C7,Inputs!C8,Inputs!C9)</f>
        <v>0</v>
      </c>
      <c r="L6" s="15" t="n">
        <f aca="false">Inputs!C5*Inputs!C6*K6*Inputs!C10</f>
        <v>0</v>
      </c>
      <c r="M6" s="15" t="n">
        <f aca="false">IF($B6=0,0,Inputs!C11*Inputs!C12*Inputs!C13/12*IF($B6=1,Inputs!C14,1))</f>
        <v>0</v>
      </c>
      <c r="N6" s="15" t="n">
        <f aca="false">IF($A6&lt;=Inputs!C16,Inputs!C15/Inputs!C16,Inputs!C17/12)</f>
        <v>133333.333333333</v>
      </c>
      <c r="O6" s="15" t="n">
        <f aca="false">L6+M6-N6</f>
        <v>-133333.333333333</v>
      </c>
      <c r="P6" s="15" t="n">
        <f aca="false">P5+O6</f>
        <v>-266666.666666667</v>
      </c>
      <c r="Q6" s="15" t="n">
        <f aca="false">O6/(1+Inputs!C18)^($A6/12)</f>
        <v>-130838.553120645</v>
      </c>
      <c r="R6" s="13" t="str">
        <f aca="false">IF(P6&gt;0,$A6,"")</f>
        <v/>
      </c>
    </row>
    <row r="7" customFormat="false" ht="15" hidden="false" customHeight="false" outlineLevel="0" collapsed="false">
      <c r="A7" s="13" t="n">
        <v>3</v>
      </c>
      <c r="B7" s="13" t="n">
        <f aca="false">IF(A7&lt;=Inputs!$B$16,0,MIN(3,INT((A7-Inputs!$B$16-1)/12)+1))</f>
        <v>0</v>
      </c>
      <c r="C7" s="14" t="n">
        <f aca="false">CHOOSE($B7+1,0,Inputs!B7,Inputs!B8,Inputs!B9)</f>
        <v>0</v>
      </c>
      <c r="D7" s="15" t="n">
        <f aca="false">Inputs!B5*Inputs!B6*C7*Inputs!B10</f>
        <v>0</v>
      </c>
      <c r="E7" s="15" t="n">
        <f aca="false">IF($B7=0,0,Inputs!B11*Inputs!B12*Inputs!B13/12*IF($B7=1,Inputs!B14,1))</f>
        <v>0</v>
      </c>
      <c r="F7" s="15" t="n">
        <f aca="false">IF($A7&lt;=Inputs!B16,Inputs!B15/Inputs!B16,Inputs!B17/12)</f>
        <v>133333.333333333</v>
      </c>
      <c r="G7" s="15" t="n">
        <f aca="false">D7+E7-F7</f>
        <v>-133333.333333333</v>
      </c>
      <c r="H7" s="15" t="n">
        <f aca="false">H6+G7</f>
        <v>-400000</v>
      </c>
      <c r="I7" s="15" t="n">
        <f aca="false">G7/(1+Inputs!B18)^($A7/12)</f>
        <v>-129608.722787598</v>
      </c>
      <c r="J7" s="13" t="str">
        <f aca="false">IF(H7&gt;0,$A7,"")</f>
        <v/>
      </c>
      <c r="K7" s="14" t="n">
        <f aca="false">CHOOSE($B7+1,0,Inputs!C7,Inputs!C8,Inputs!C9)</f>
        <v>0</v>
      </c>
      <c r="L7" s="15" t="n">
        <f aca="false">Inputs!C5*Inputs!C6*K7*Inputs!C10</f>
        <v>0</v>
      </c>
      <c r="M7" s="15" t="n">
        <f aca="false">IF($B7=0,0,Inputs!C11*Inputs!C12*Inputs!C13/12*IF($B7=1,Inputs!C14,1))</f>
        <v>0</v>
      </c>
      <c r="N7" s="15" t="n">
        <f aca="false">IF($A7&lt;=Inputs!C16,Inputs!C15/Inputs!C16,Inputs!C17/12)</f>
        <v>133333.333333333</v>
      </c>
      <c r="O7" s="15" t="n">
        <f aca="false">L7+M7-N7</f>
        <v>-133333.333333333</v>
      </c>
      <c r="P7" s="15" t="n">
        <f aca="false">P6+O7</f>
        <v>-400000</v>
      </c>
      <c r="Q7" s="15" t="n">
        <f aca="false">O7/(1+Inputs!C18)^($A7/12)</f>
        <v>-129608.722787598</v>
      </c>
      <c r="R7" s="13" t="str">
        <f aca="false">IF(P7&gt;0,$A7,"")</f>
        <v/>
      </c>
    </row>
    <row r="8" customFormat="false" ht="15" hidden="false" customHeight="false" outlineLevel="0" collapsed="false">
      <c r="A8" s="13" t="n">
        <v>4</v>
      </c>
      <c r="B8" s="13" t="n">
        <f aca="false">IF(A8&lt;=Inputs!$B$16,0,MIN(3,INT((A8-Inputs!$B$16-1)/12)+1))</f>
        <v>0</v>
      </c>
      <c r="C8" s="14" t="n">
        <f aca="false">CHOOSE($B8+1,0,Inputs!B7,Inputs!B8,Inputs!B9)</f>
        <v>0</v>
      </c>
      <c r="D8" s="15" t="n">
        <f aca="false">Inputs!B5*Inputs!B6*C8*Inputs!B10</f>
        <v>0</v>
      </c>
      <c r="E8" s="15" t="n">
        <f aca="false">IF($B8=0,0,Inputs!B11*Inputs!B12*Inputs!B13/12*IF($B8=1,Inputs!B14,1))</f>
        <v>0</v>
      </c>
      <c r="F8" s="15" t="n">
        <f aca="false">IF($A8&lt;=Inputs!B16,Inputs!B15/Inputs!B16,Inputs!B17/12)</f>
        <v>133333.333333333</v>
      </c>
      <c r="G8" s="15" t="n">
        <f aca="false">D8+E8-F8</f>
        <v>-133333.333333333</v>
      </c>
      <c r="H8" s="15" t="n">
        <f aca="false">H7+G8</f>
        <v>-533333.333333333</v>
      </c>
      <c r="I8" s="15" t="n">
        <f aca="false">G8/(1+Inputs!B18)^($A8/12)</f>
        <v>-128390.452370279</v>
      </c>
      <c r="J8" s="13" t="str">
        <f aca="false">IF(H8&gt;0,$A8,"")</f>
        <v/>
      </c>
      <c r="K8" s="14" t="n">
        <f aca="false">CHOOSE($B8+1,0,Inputs!C7,Inputs!C8,Inputs!C9)</f>
        <v>0</v>
      </c>
      <c r="L8" s="15" t="n">
        <f aca="false">Inputs!C5*Inputs!C6*K8*Inputs!C10</f>
        <v>0</v>
      </c>
      <c r="M8" s="15" t="n">
        <f aca="false">IF($B8=0,0,Inputs!C11*Inputs!C12*Inputs!C13/12*IF($B8=1,Inputs!C14,1))</f>
        <v>0</v>
      </c>
      <c r="N8" s="15" t="n">
        <f aca="false">IF($A8&lt;=Inputs!C16,Inputs!C15/Inputs!C16,Inputs!C17/12)</f>
        <v>133333.333333333</v>
      </c>
      <c r="O8" s="15" t="n">
        <f aca="false">L8+M8-N8</f>
        <v>-133333.333333333</v>
      </c>
      <c r="P8" s="15" t="n">
        <f aca="false">P7+O8</f>
        <v>-533333.333333333</v>
      </c>
      <c r="Q8" s="15" t="n">
        <f aca="false">O8/(1+Inputs!C18)^($A8/12)</f>
        <v>-128390.452370279</v>
      </c>
      <c r="R8" s="13" t="str">
        <f aca="false">IF(P8&gt;0,$A8,"")</f>
        <v/>
      </c>
    </row>
    <row r="9" customFormat="false" ht="15" hidden="false" customHeight="false" outlineLevel="0" collapsed="false">
      <c r="A9" s="13" t="n">
        <v>5</v>
      </c>
      <c r="B9" s="13" t="n">
        <f aca="false">IF(A9&lt;=Inputs!$B$16,0,MIN(3,INT((A9-Inputs!$B$16-1)/12)+1))</f>
        <v>0</v>
      </c>
      <c r="C9" s="14" t="n">
        <f aca="false">CHOOSE($B9+1,0,Inputs!B7,Inputs!B8,Inputs!B9)</f>
        <v>0</v>
      </c>
      <c r="D9" s="15" t="n">
        <f aca="false">Inputs!B5*Inputs!B6*C9*Inputs!B10</f>
        <v>0</v>
      </c>
      <c r="E9" s="15" t="n">
        <f aca="false">IF($B9=0,0,Inputs!B11*Inputs!B12*Inputs!B13/12*IF($B9=1,Inputs!B14,1))</f>
        <v>0</v>
      </c>
      <c r="F9" s="15" t="n">
        <f aca="false">IF($A9&lt;=Inputs!B16,Inputs!B15/Inputs!B16,Inputs!B17/12)</f>
        <v>133333.333333333</v>
      </c>
      <c r="G9" s="15" t="n">
        <f aca="false">D9+E9-F9</f>
        <v>-133333.333333333</v>
      </c>
      <c r="H9" s="15" t="n">
        <f aca="false">H8+G9</f>
        <v>-666666.666666667</v>
      </c>
      <c r="I9" s="15" t="n">
        <f aca="false">G9/(1+Inputs!B18)^($A9/12)</f>
        <v>-127183.63321008</v>
      </c>
      <c r="J9" s="13" t="str">
        <f aca="false">IF(H9&gt;0,$A9,"")</f>
        <v/>
      </c>
      <c r="K9" s="14" t="n">
        <f aca="false">CHOOSE($B9+1,0,Inputs!C7,Inputs!C8,Inputs!C9)</f>
        <v>0</v>
      </c>
      <c r="L9" s="15" t="n">
        <f aca="false">Inputs!C5*Inputs!C6*K9*Inputs!C10</f>
        <v>0</v>
      </c>
      <c r="M9" s="15" t="n">
        <f aca="false">IF($B9=0,0,Inputs!C11*Inputs!C12*Inputs!C13/12*IF($B9=1,Inputs!C14,1))</f>
        <v>0</v>
      </c>
      <c r="N9" s="15" t="n">
        <f aca="false">IF($A9&lt;=Inputs!C16,Inputs!C15/Inputs!C16,Inputs!C17/12)</f>
        <v>133333.333333333</v>
      </c>
      <c r="O9" s="15" t="n">
        <f aca="false">L9+M9-N9</f>
        <v>-133333.333333333</v>
      </c>
      <c r="P9" s="15" t="n">
        <f aca="false">P8+O9</f>
        <v>-666666.666666667</v>
      </c>
      <c r="Q9" s="15" t="n">
        <f aca="false">O9/(1+Inputs!C18)^($A9/12)</f>
        <v>-127183.63321008</v>
      </c>
      <c r="R9" s="13" t="str">
        <f aca="false">IF(P9&gt;0,$A9,"")</f>
        <v/>
      </c>
    </row>
    <row r="10" customFormat="false" ht="15" hidden="false" customHeight="false" outlineLevel="0" collapsed="false">
      <c r="A10" s="13" t="n">
        <v>6</v>
      </c>
      <c r="B10" s="13" t="n">
        <f aca="false">IF(A10&lt;=Inputs!$B$16,0,MIN(3,INT((A10-Inputs!$B$16-1)/12)+1))</f>
        <v>0</v>
      </c>
      <c r="C10" s="14" t="n">
        <f aca="false">CHOOSE($B10+1,0,Inputs!B7,Inputs!B8,Inputs!B9)</f>
        <v>0</v>
      </c>
      <c r="D10" s="15" t="n">
        <f aca="false">Inputs!B5*Inputs!B6*C10*Inputs!B10</f>
        <v>0</v>
      </c>
      <c r="E10" s="15" t="n">
        <f aca="false">IF($B10=0,0,Inputs!B11*Inputs!B12*Inputs!B13/12*IF($B10=1,Inputs!B14,1))</f>
        <v>0</v>
      </c>
      <c r="F10" s="15" t="n">
        <f aca="false">IF($A10&lt;=Inputs!B16,Inputs!B15/Inputs!B16,Inputs!B17/12)</f>
        <v>133333.333333333</v>
      </c>
      <c r="G10" s="15" t="n">
        <f aca="false">D10+E10-F10</f>
        <v>-133333.333333333</v>
      </c>
      <c r="H10" s="15" t="n">
        <f aca="false">H9+G10</f>
        <v>-800000</v>
      </c>
      <c r="I10" s="15" t="n">
        <f aca="false">G10/(1+Inputs!B18)^($A10/12)</f>
        <v>-125988.157669742</v>
      </c>
      <c r="J10" s="13" t="str">
        <f aca="false">IF(H10&gt;0,$A10,"")</f>
        <v/>
      </c>
      <c r="K10" s="14" t="n">
        <f aca="false">CHOOSE($B10+1,0,Inputs!C7,Inputs!C8,Inputs!C9)</f>
        <v>0</v>
      </c>
      <c r="L10" s="15" t="n">
        <f aca="false">Inputs!C5*Inputs!C6*K10*Inputs!C10</f>
        <v>0</v>
      </c>
      <c r="M10" s="15" t="n">
        <f aca="false">IF($B10=0,0,Inputs!C11*Inputs!C12*Inputs!C13/12*IF($B10=1,Inputs!C14,1))</f>
        <v>0</v>
      </c>
      <c r="N10" s="15" t="n">
        <f aca="false">IF($A10&lt;=Inputs!C16,Inputs!C15/Inputs!C16,Inputs!C17/12)</f>
        <v>133333.333333333</v>
      </c>
      <c r="O10" s="15" t="n">
        <f aca="false">L10+M10-N10</f>
        <v>-133333.333333333</v>
      </c>
      <c r="P10" s="15" t="n">
        <f aca="false">P9+O10</f>
        <v>-800000</v>
      </c>
      <c r="Q10" s="15" t="n">
        <f aca="false">O10/(1+Inputs!C18)^($A10/12)</f>
        <v>-125988.157669742</v>
      </c>
      <c r="R10" s="13" t="str">
        <f aca="false">IF(P10&gt;0,$A10,"")</f>
        <v/>
      </c>
    </row>
    <row r="11" customFormat="false" ht="15" hidden="false" customHeight="false" outlineLevel="0" collapsed="false">
      <c r="A11" s="13" t="n">
        <v>7</v>
      </c>
      <c r="B11" s="13" t="n">
        <f aca="false">IF(A11&lt;=Inputs!$B$16,0,MIN(3,INT((A11-Inputs!$B$16-1)/12)+1))</f>
        <v>1</v>
      </c>
      <c r="C11" s="14" t="n">
        <f aca="false">CHOOSE($B11+1,0,Inputs!B7,Inputs!B8,Inputs!B9)</f>
        <v>0.35</v>
      </c>
      <c r="D11" s="15" t="n">
        <f aca="false">Inputs!B5*Inputs!B6*C11*Inputs!B10</f>
        <v>36750</v>
      </c>
      <c r="E11" s="15" t="n">
        <f aca="false">IF($B11=0,0,Inputs!B11*Inputs!B12*Inputs!B13/12*IF($B11=1,Inputs!B14,1))</f>
        <v>6250</v>
      </c>
      <c r="F11" s="15" t="n">
        <f aca="false">IF($A11&lt;=Inputs!B16,Inputs!B15/Inputs!B16,Inputs!B17/12)</f>
        <v>23333.3333333333</v>
      </c>
      <c r="G11" s="15" t="n">
        <f aca="false">D11+E11-F11</f>
        <v>19666.6666666667</v>
      </c>
      <c r="H11" s="15" t="n">
        <f aca="false">H10+G11</f>
        <v>-780333.333333334</v>
      </c>
      <c r="I11" s="15" t="n">
        <f aca="false">G11/(1+Inputs!B18)^($A11/12)</f>
        <v>18408.5780707535</v>
      </c>
      <c r="J11" s="13" t="str">
        <f aca="false">IF(H11&gt;0,$A11,"")</f>
        <v/>
      </c>
      <c r="K11" s="14" t="n">
        <f aca="false">CHOOSE($B11+1,0,Inputs!C7,Inputs!C8,Inputs!C9)</f>
        <v>0.45</v>
      </c>
      <c r="L11" s="15" t="n">
        <f aca="false">Inputs!C5*Inputs!C6*K11*Inputs!C10</f>
        <v>74250</v>
      </c>
      <c r="M11" s="15" t="n">
        <f aca="false">IF($B11=0,0,Inputs!C11*Inputs!C12*Inputs!C13/12*IF($B11=1,Inputs!C14,1))</f>
        <v>15625</v>
      </c>
      <c r="N11" s="15" t="n">
        <f aca="false">IF($A11&lt;=Inputs!C16,Inputs!C15/Inputs!C16,Inputs!C17/12)</f>
        <v>23333.3333333333</v>
      </c>
      <c r="O11" s="15" t="n">
        <f aca="false">L11+M11-N11</f>
        <v>66541.6666666667</v>
      </c>
      <c r="P11" s="15" t="n">
        <f aca="false">P10+O11</f>
        <v>-733458.333333334</v>
      </c>
      <c r="Q11" s="15" t="n">
        <f aca="false">O11/(1+Inputs!C18)^($A11/12)</f>
        <v>62284.9558876978</v>
      </c>
      <c r="R11" s="13" t="str">
        <f aca="false">IF(P11&gt;0,$A11,"")</f>
        <v/>
      </c>
    </row>
    <row r="12" customFormat="false" ht="15" hidden="false" customHeight="false" outlineLevel="0" collapsed="false">
      <c r="A12" s="13" t="n">
        <v>8</v>
      </c>
      <c r="B12" s="13" t="n">
        <f aca="false">IF(A12&lt;=Inputs!$B$16,0,MIN(3,INT((A12-Inputs!$B$16-1)/12)+1))</f>
        <v>1</v>
      </c>
      <c r="C12" s="14" t="n">
        <f aca="false">CHOOSE($B12+1,0,Inputs!B7,Inputs!B8,Inputs!B9)</f>
        <v>0.35</v>
      </c>
      <c r="D12" s="15" t="n">
        <f aca="false">Inputs!B5*Inputs!B6*C12*Inputs!B10</f>
        <v>36750</v>
      </c>
      <c r="E12" s="15" t="n">
        <f aca="false">IF($B12=0,0,Inputs!B11*Inputs!B12*Inputs!B13/12*IF($B12=1,Inputs!B14,1))</f>
        <v>6250</v>
      </c>
      <c r="F12" s="15" t="n">
        <f aca="false">IF($A12&lt;=Inputs!B16,Inputs!B15/Inputs!B16,Inputs!B17/12)</f>
        <v>23333.3333333333</v>
      </c>
      <c r="G12" s="15" t="n">
        <f aca="false">D12+E12-F12</f>
        <v>19666.6666666667</v>
      </c>
      <c r="H12" s="15" t="n">
        <f aca="false">H11+G12</f>
        <v>-760666.666666667</v>
      </c>
      <c r="I12" s="15" t="n">
        <f aca="false">G12/(1+Inputs!B18)^($A12/12)</f>
        <v>18235.5447624533</v>
      </c>
      <c r="J12" s="13" t="str">
        <f aca="false">IF(H12&gt;0,$A12,"")</f>
        <v/>
      </c>
      <c r="K12" s="14" t="n">
        <f aca="false">CHOOSE($B12+1,0,Inputs!C7,Inputs!C8,Inputs!C9)</f>
        <v>0.45</v>
      </c>
      <c r="L12" s="15" t="n">
        <f aca="false">Inputs!C5*Inputs!C6*K12*Inputs!C10</f>
        <v>74250</v>
      </c>
      <c r="M12" s="15" t="n">
        <f aca="false">IF($B12=0,0,Inputs!C11*Inputs!C12*Inputs!C13/12*IF($B12=1,Inputs!C14,1))</f>
        <v>15625</v>
      </c>
      <c r="N12" s="15" t="n">
        <f aca="false">IF($A12&lt;=Inputs!C16,Inputs!C15/Inputs!C16,Inputs!C17/12)</f>
        <v>23333.3333333333</v>
      </c>
      <c r="O12" s="15" t="n">
        <f aca="false">L12+M12-N12</f>
        <v>66541.6666666667</v>
      </c>
      <c r="P12" s="15" t="n">
        <f aca="false">P11+O12</f>
        <v>-666916.666666667</v>
      </c>
      <c r="Q12" s="15" t="n">
        <f aca="false">O12/(1+Inputs!C18)^($A12/12)</f>
        <v>61699.5020882159</v>
      </c>
      <c r="R12" s="13" t="str">
        <f aca="false">IF(P12&gt;0,$A12,"")</f>
        <v/>
      </c>
    </row>
    <row r="13" customFormat="false" ht="15" hidden="false" customHeight="false" outlineLevel="0" collapsed="false">
      <c r="A13" s="13" t="n">
        <v>9</v>
      </c>
      <c r="B13" s="13" t="n">
        <f aca="false">IF(A13&lt;=Inputs!$B$16,0,MIN(3,INT((A13-Inputs!$B$16-1)/12)+1))</f>
        <v>1</v>
      </c>
      <c r="C13" s="14" t="n">
        <f aca="false">CHOOSE($B13+1,0,Inputs!B7,Inputs!B8,Inputs!B9)</f>
        <v>0.35</v>
      </c>
      <c r="D13" s="15" t="n">
        <f aca="false">Inputs!B5*Inputs!B6*C13*Inputs!B10</f>
        <v>36750</v>
      </c>
      <c r="E13" s="15" t="n">
        <f aca="false">IF($B13=0,0,Inputs!B11*Inputs!B12*Inputs!B13/12*IF($B13=1,Inputs!B14,1))</f>
        <v>6250</v>
      </c>
      <c r="F13" s="15" t="n">
        <f aca="false">IF($A13&lt;=Inputs!B16,Inputs!B15/Inputs!B16,Inputs!B17/12)</f>
        <v>23333.3333333333</v>
      </c>
      <c r="G13" s="15" t="n">
        <f aca="false">D13+E13-F13</f>
        <v>19666.6666666667</v>
      </c>
      <c r="H13" s="15" t="n">
        <f aca="false">H12+G13</f>
        <v>-741000</v>
      </c>
      <c r="I13" s="15" t="n">
        <f aca="false">G13/(1+Inputs!B18)^($A13/12)</f>
        <v>18064.1378983937</v>
      </c>
      <c r="J13" s="13" t="str">
        <f aca="false">IF(H13&gt;0,$A13,"")</f>
        <v/>
      </c>
      <c r="K13" s="14" t="n">
        <f aca="false">CHOOSE($B13+1,0,Inputs!C7,Inputs!C8,Inputs!C9)</f>
        <v>0.45</v>
      </c>
      <c r="L13" s="15" t="n">
        <f aca="false">Inputs!C5*Inputs!C6*K13*Inputs!C10</f>
        <v>74250</v>
      </c>
      <c r="M13" s="15" t="n">
        <f aca="false">IF($B13=0,0,Inputs!C11*Inputs!C12*Inputs!C13/12*IF($B13=1,Inputs!C14,1))</f>
        <v>15625</v>
      </c>
      <c r="N13" s="15" t="n">
        <f aca="false">IF($A13&lt;=Inputs!C16,Inputs!C15/Inputs!C16,Inputs!C17/12)</f>
        <v>23333.3333333333</v>
      </c>
      <c r="O13" s="15" t="n">
        <f aca="false">L13+M13-N13</f>
        <v>66541.6666666667</v>
      </c>
      <c r="P13" s="15" t="n">
        <f aca="false">P12+O13</f>
        <v>-600375</v>
      </c>
      <c r="Q13" s="15" t="n">
        <f aca="false">O13/(1+Inputs!C18)^($A13/12)</f>
        <v>61119.5513214718</v>
      </c>
      <c r="R13" s="13" t="str">
        <f aca="false">IF(P13&gt;0,$A13,"")</f>
        <v/>
      </c>
    </row>
    <row r="14" customFormat="false" ht="15" hidden="false" customHeight="false" outlineLevel="0" collapsed="false">
      <c r="A14" s="13" t="n">
        <v>10</v>
      </c>
      <c r="B14" s="13" t="n">
        <f aca="false">IF(A14&lt;=Inputs!$B$16,0,MIN(3,INT((A14-Inputs!$B$16-1)/12)+1))</f>
        <v>1</v>
      </c>
      <c r="C14" s="14" t="n">
        <f aca="false">CHOOSE($B14+1,0,Inputs!B7,Inputs!B8,Inputs!B9)</f>
        <v>0.35</v>
      </c>
      <c r="D14" s="15" t="n">
        <f aca="false">Inputs!B5*Inputs!B6*C14*Inputs!B10</f>
        <v>36750</v>
      </c>
      <c r="E14" s="15" t="n">
        <f aca="false">IF($B14=0,0,Inputs!B11*Inputs!B12*Inputs!B13/12*IF($B14=1,Inputs!B14,1))</f>
        <v>6250</v>
      </c>
      <c r="F14" s="15" t="n">
        <f aca="false">IF($A14&lt;=Inputs!B16,Inputs!B15/Inputs!B16,Inputs!B17/12)</f>
        <v>23333.3333333333</v>
      </c>
      <c r="G14" s="15" t="n">
        <f aca="false">D14+E14-F14</f>
        <v>19666.6666666667</v>
      </c>
      <c r="H14" s="15" t="n">
        <f aca="false">H13+G14</f>
        <v>-721333.333333334</v>
      </c>
      <c r="I14" s="15" t="n">
        <f aca="false">G14/(1+Inputs!B18)^($A14/12)</f>
        <v>17894.3421906461</v>
      </c>
      <c r="J14" s="13" t="str">
        <f aca="false">IF(H14&gt;0,$A14,"")</f>
        <v/>
      </c>
      <c r="K14" s="14" t="n">
        <f aca="false">CHOOSE($B14+1,0,Inputs!C7,Inputs!C8,Inputs!C9)</f>
        <v>0.45</v>
      </c>
      <c r="L14" s="15" t="n">
        <f aca="false">Inputs!C5*Inputs!C6*K14*Inputs!C10</f>
        <v>74250</v>
      </c>
      <c r="M14" s="15" t="n">
        <f aca="false">IF($B14=0,0,Inputs!C11*Inputs!C12*Inputs!C13/12*IF($B14=1,Inputs!C14,1))</f>
        <v>15625</v>
      </c>
      <c r="N14" s="15" t="n">
        <f aca="false">IF($A14&lt;=Inputs!C16,Inputs!C15/Inputs!C16,Inputs!C17/12)</f>
        <v>23333.3333333333</v>
      </c>
      <c r="O14" s="15" t="n">
        <f aca="false">L14+M14-N14</f>
        <v>66541.6666666667</v>
      </c>
      <c r="P14" s="15" t="n">
        <f aca="false">P13+O14</f>
        <v>-533833.333333334</v>
      </c>
      <c r="Q14" s="15" t="n">
        <f aca="false">O14/(1+Inputs!C18)^($A14/12)</f>
        <v>60545.0518611478</v>
      </c>
      <c r="R14" s="13" t="str">
        <f aca="false">IF(P14&gt;0,$A14,"")</f>
        <v/>
      </c>
    </row>
    <row r="15" customFormat="false" ht="15" hidden="false" customHeight="false" outlineLevel="0" collapsed="false">
      <c r="A15" s="13" t="n">
        <v>11</v>
      </c>
      <c r="B15" s="13" t="n">
        <f aca="false">IF(A15&lt;=Inputs!$B$16,0,MIN(3,INT((A15-Inputs!$B$16-1)/12)+1))</f>
        <v>1</v>
      </c>
      <c r="C15" s="14" t="n">
        <f aca="false">CHOOSE($B15+1,0,Inputs!B7,Inputs!B8,Inputs!B9)</f>
        <v>0.35</v>
      </c>
      <c r="D15" s="15" t="n">
        <f aca="false">Inputs!B5*Inputs!B6*C15*Inputs!B10</f>
        <v>36750</v>
      </c>
      <c r="E15" s="15" t="n">
        <f aca="false">IF($B15=0,0,Inputs!B11*Inputs!B12*Inputs!B13/12*IF($B15=1,Inputs!B14,1))</f>
        <v>6250</v>
      </c>
      <c r="F15" s="15" t="n">
        <f aca="false">IF($A15&lt;=Inputs!B16,Inputs!B15/Inputs!B16,Inputs!B17/12)</f>
        <v>23333.3333333333</v>
      </c>
      <c r="G15" s="15" t="n">
        <f aca="false">D15+E15-F15</f>
        <v>19666.6666666667</v>
      </c>
      <c r="H15" s="15" t="n">
        <f aca="false">H14+G15</f>
        <v>-701666.666666667</v>
      </c>
      <c r="I15" s="15" t="n">
        <f aca="false">G15/(1+Inputs!B18)^($A15/12)</f>
        <v>17726.1424949823</v>
      </c>
      <c r="J15" s="13" t="str">
        <f aca="false">IF(H15&gt;0,$A15,"")</f>
        <v/>
      </c>
      <c r="K15" s="14" t="n">
        <f aca="false">CHOOSE($B15+1,0,Inputs!C7,Inputs!C8,Inputs!C9)</f>
        <v>0.45</v>
      </c>
      <c r="L15" s="15" t="n">
        <f aca="false">Inputs!C5*Inputs!C6*K15*Inputs!C10</f>
        <v>74250</v>
      </c>
      <c r="M15" s="15" t="n">
        <f aca="false">IF($B15=0,0,Inputs!C11*Inputs!C12*Inputs!C13/12*IF($B15=1,Inputs!C14,1))</f>
        <v>15625</v>
      </c>
      <c r="N15" s="15" t="n">
        <f aca="false">IF($A15&lt;=Inputs!C16,Inputs!C15/Inputs!C16,Inputs!C17/12)</f>
        <v>23333.3333333333</v>
      </c>
      <c r="O15" s="15" t="n">
        <f aca="false">L15+M15-N15</f>
        <v>66541.6666666667</v>
      </c>
      <c r="P15" s="15" t="n">
        <f aca="false">P14+O15</f>
        <v>-467291.666666667</v>
      </c>
      <c r="Q15" s="15" t="n">
        <f aca="false">O15/(1+Inputs!C18)^($A15/12)</f>
        <v>59975.9524671328</v>
      </c>
      <c r="R15" s="13" t="str">
        <f aca="false">IF(P15&gt;0,$A15,"")</f>
        <v/>
      </c>
    </row>
    <row r="16" customFormat="false" ht="15" hidden="false" customHeight="false" outlineLevel="0" collapsed="false">
      <c r="A16" s="13" t="n">
        <v>12</v>
      </c>
      <c r="B16" s="13" t="n">
        <f aca="false">IF(A16&lt;=Inputs!$B$16,0,MIN(3,INT((A16-Inputs!$B$16-1)/12)+1))</f>
        <v>1</v>
      </c>
      <c r="C16" s="14" t="n">
        <f aca="false">CHOOSE($B16+1,0,Inputs!B7,Inputs!B8,Inputs!B9)</f>
        <v>0.35</v>
      </c>
      <c r="D16" s="15" t="n">
        <f aca="false">Inputs!B5*Inputs!B6*C16*Inputs!B10</f>
        <v>36750</v>
      </c>
      <c r="E16" s="15" t="n">
        <f aca="false">IF($B16=0,0,Inputs!B11*Inputs!B12*Inputs!B13/12*IF($B16=1,Inputs!B14,1))</f>
        <v>6250</v>
      </c>
      <c r="F16" s="15" t="n">
        <f aca="false">IF($A16&lt;=Inputs!B16,Inputs!B15/Inputs!B16,Inputs!B17/12)</f>
        <v>23333.3333333333</v>
      </c>
      <c r="G16" s="15" t="n">
        <f aca="false">D16+E16-F16</f>
        <v>19666.6666666667</v>
      </c>
      <c r="H16" s="15" t="n">
        <f aca="false">H15+G16</f>
        <v>-682000</v>
      </c>
      <c r="I16" s="15" t="n">
        <f aca="false">G16/(1+Inputs!B18)^($A16/12)</f>
        <v>17559.5238095238</v>
      </c>
      <c r="J16" s="13" t="str">
        <f aca="false">IF(H16&gt;0,$A16,"")</f>
        <v/>
      </c>
      <c r="K16" s="14" t="n">
        <f aca="false">CHOOSE($B16+1,0,Inputs!C7,Inputs!C8,Inputs!C9)</f>
        <v>0.45</v>
      </c>
      <c r="L16" s="15" t="n">
        <f aca="false">Inputs!C5*Inputs!C6*K16*Inputs!C10</f>
        <v>74250</v>
      </c>
      <c r="M16" s="15" t="n">
        <f aca="false">IF($B16=0,0,Inputs!C11*Inputs!C12*Inputs!C13/12*IF($B16=1,Inputs!C14,1))</f>
        <v>15625</v>
      </c>
      <c r="N16" s="15" t="n">
        <f aca="false">IF($A16&lt;=Inputs!C16,Inputs!C15/Inputs!C16,Inputs!C17/12)</f>
        <v>23333.3333333333</v>
      </c>
      <c r="O16" s="15" t="n">
        <f aca="false">L16+M16-N16</f>
        <v>66541.6666666667</v>
      </c>
      <c r="P16" s="15" t="n">
        <f aca="false">P15+O16</f>
        <v>-400750</v>
      </c>
      <c r="Q16" s="15" t="n">
        <f aca="false">O16/(1+Inputs!C18)^($A16/12)</f>
        <v>59412.2023809524</v>
      </c>
      <c r="R16" s="13" t="str">
        <f aca="false">IF(P16&gt;0,$A16,"")</f>
        <v/>
      </c>
    </row>
    <row r="17" customFormat="false" ht="15" hidden="false" customHeight="false" outlineLevel="0" collapsed="false">
      <c r="A17" s="13" t="n">
        <v>13</v>
      </c>
      <c r="B17" s="13" t="n">
        <f aca="false">IF(A17&lt;=Inputs!$B$16,0,MIN(3,INT((A17-Inputs!$B$16-1)/12)+1))</f>
        <v>1</v>
      </c>
      <c r="C17" s="14" t="n">
        <f aca="false">CHOOSE($B17+1,0,Inputs!B7,Inputs!B8,Inputs!B9)</f>
        <v>0.35</v>
      </c>
      <c r="D17" s="15" t="n">
        <f aca="false">Inputs!B5*Inputs!B6*C17*Inputs!B10</f>
        <v>36750</v>
      </c>
      <c r="E17" s="15" t="n">
        <f aca="false">IF($B17=0,0,Inputs!B11*Inputs!B12*Inputs!B13/12*IF($B17=1,Inputs!B14,1))</f>
        <v>6250</v>
      </c>
      <c r="F17" s="15" t="n">
        <f aca="false">IF($A17&lt;=Inputs!B16,Inputs!B15/Inputs!B16,Inputs!B17/12)</f>
        <v>23333.3333333333</v>
      </c>
      <c r="G17" s="15" t="n">
        <f aca="false">D17+E17-F17</f>
        <v>19666.6666666667</v>
      </c>
      <c r="H17" s="15" t="n">
        <f aca="false">H16+G17</f>
        <v>-662333.333333334</v>
      </c>
      <c r="I17" s="15" t="n">
        <f aca="false">G17/(1+Inputs!B18)^($A17/12)</f>
        <v>17394.4712734039</v>
      </c>
      <c r="J17" s="13" t="str">
        <f aca="false">IF(H17&gt;0,$A17,"")</f>
        <v/>
      </c>
      <c r="K17" s="14" t="n">
        <f aca="false">CHOOSE($B17+1,0,Inputs!C7,Inputs!C8,Inputs!C9)</f>
        <v>0.45</v>
      </c>
      <c r="L17" s="15" t="n">
        <f aca="false">Inputs!C5*Inputs!C6*K17*Inputs!C10</f>
        <v>74250</v>
      </c>
      <c r="M17" s="15" t="n">
        <f aca="false">IF($B17=0,0,Inputs!C11*Inputs!C12*Inputs!C13/12*IF($B17=1,Inputs!C14,1))</f>
        <v>15625</v>
      </c>
      <c r="N17" s="15" t="n">
        <f aca="false">IF($A17&lt;=Inputs!C16,Inputs!C15/Inputs!C16,Inputs!C17/12)</f>
        <v>23333.3333333333</v>
      </c>
      <c r="O17" s="15" t="n">
        <f aca="false">L17+M17-N17</f>
        <v>66541.6666666667</v>
      </c>
      <c r="P17" s="15" t="n">
        <f aca="false">P16+O17</f>
        <v>-334208.333333334</v>
      </c>
      <c r="Q17" s="15" t="n">
        <f aca="false">O17/(1+Inputs!C18)^($A17/12)</f>
        <v>58853.7513212417</v>
      </c>
      <c r="R17" s="13" t="str">
        <f aca="false">IF(P17&gt;0,$A17,"")</f>
        <v/>
      </c>
    </row>
    <row r="18" customFormat="false" ht="15" hidden="false" customHeight="false" outlineLevel="0" collapsed="false">
      <c r="A18" s="13" t="n">
        <v>14</v>
      </c>
      <c r="B18" s="13" t="n">
        <f aca="false">IF(A18&lt;=Inputs!$B$16,0,MIN(3,INT((A18-Inputs!$B$16-1)/12)+1))</f>
        <v>1</v>
      </c>
      <c r="C18" s="14" t="n">
        <f aca="false">CHOOSE($B18+1,0,Inputs!B7,Inputs!B8,Inputs!B9)</f>
        <v>0.35</v>
      </c>
      <c r="D18" s="15" t="n">
        <f aca="false">Inputs!B5*Inputs!B6*C18*Inputs!B10</f>
        <v>36750</v>
      </c>
      <c r="E18" s="15" t="n">
        <f aca="false">IF($B18=0,0,Inputs!B11*Inputs!B12*Inputs!B13/12*IF($B18=1,Inputs!B14,1))</f>
        <v>6250</v>
      </c>
      <c r="F18" s="15" t="n">
        <f aca="false">IF($A18&lt;=Inputs!B16,Inputs!B15/Inputs!B16,Inputs!B17/12)</f>
        <v>23333.3333333333</v>
      </c>
      <c r="G18" s="15" t="n">
        <f aca="false">D18+E18-F18</f>
        <v>19666.6666666667</v>
      </c>
      <c r="H18" s="15" t="n">
        <f aca="false">H17+G18</f>
        <v>-642666.666666667</v>
      </c>
      <c r="I18" s="15" t="n">
        <f aca="false">G18/(1+Inputs!B18)^($A18/12)</f>
        <v>17230.9701654421</v>
      </c>
      <c r="J18" s="13" t="str">
        <f aca="false">IF(H18&gt;0,$A18,"")</f>
        <v/>
      </c>
      <c r="K18" s="14" t="n">
        <f aca="false">CHOOSE($B18+1,0,Inputs!C7,Inputs!C8,Inputs!C9)</f>
        <v>0.45</v>
      </c>
      <c r="L18" s="15" t="n">
        <f aca="false">Inputs!C5*Inputs!C6*K18*Inputs!C10</f>
        <v>74250</v>
      </c>
      <c r="M18" s="15" t="n">
        <f aca="false">IF($B18=0,0,Inputs!C11*Inputs!C12*Inputs!C13/12*IF($B18=1,Inputs!C14,1))</f>
        <v>15625</v>
      </c>
      <c r="N18" s="15" t="n">
        <f aca="false">IF($A18&lt;=Inputs!C16,Inputs!C15/Inputs!C16,Inputs!C17/12)</f>
        <v>23333.3333333333</v>
      </c>
      <c r="O18" s="15" t="n">
        <f aca="false">L18+M18-N18</f>
        <v>66541.6666666667</v>
      </c>
      <c r="P18" s="15" t="n">
        <f aca="false">P17+O18</f>
        <v>-267666.666666667</v>
      </c>
      <c r="Q18" s="15" t="n">
        <f aca="false">O18/(1+Inputs!C18)^($A18/12)</f>
        <v>58300.5494792606</v>
      </c>
      <c r="R18" s="13" t="str">
        <f aca="false">IF(P18&gt;0,$A18,"")</f>
        <v/>
      </c>
    </row>
    <row r="19" customFormat="false" ht="15" hidden="false" customHeight="false" outlineLevel="0" collapsed="false">
      <c r="A19" s="13" t="n">
        <v>15</v>
      </c>
      <c r="B19" s="13" t="n">
        <f aca="false">IF(A19&lt;=Inputs!$B$16,0,MIN(3,INT((A19-Inputs!$B$16-1)/12)+1))</f>
        <v>1</v>
      </c>
      <c r="C19" s="14" t="n">
        <f aca="false">CHOOSE($B19+1,0,Inputs!B7,Inputs!B8,Inputs!B9)</f>
        <v>0.35</v>
      </c>
      <c r="D19" s="15" t="n">
        <f aca="false">Inputs!B5*Inputs!B6*C19*Inputs!B10</f>
        <v>36750</v>
      </c>
      <c r="E19" s="15" t="n">
        <f aca="false">IF($B19=0,0,Inputs!B11*Inputs!B12*Inputs!B13/12*IF($B19=1,Inputs!B14,1))</f>
        <v>6250</v>
      </c>
      <c r="F19" s="15" t="n">
        <f aca="false">IF($A19&lt;=Inputs!B16,Inputs!B15/Inputs!B16,Inputs!B17/12)</f>
        <v>23333.3333333333</v>
      </c>
      <c r="G19" s="15" t="n">
        <f aca="false">D19+E19-F19</f>
        <v>19666.6666666667</v>
      </c>
      <c r="H19" s="15" t="n">
        <f aca="false">H18+G19</f>
        <v>-623000.000000001</v>
      </c>
      <c r="I19" s="15" t="n">
        <f aca="false">G19/(1+Inputs!B18)^($A19/12)</f>
        <v>17069.0059028309</v>
      </c>
      <c r="J19" s="13" t="str">
        <f aca="false">IF(H19&gt;0,$A19,"")</f>
        <v/>
      </c>
      <c r="K19" s="14" t="n">
        <f aca="false">CHOOSE($B19+1,0,Inputs!C7,Inputs!C8,Inputs!C9)</f>
        <v>0.45</v>
      </c>
      <c r="L19" s="15" t="n">
        <f aca="false">Inputs!C5*Inputs!C6*K19*Inputs!C10</f>
        <v>74250</v>
      </c>
      <c r="M19" s="15" t="n">
        <f aca="false">IF($B19=0,0,Inputs!C11*Inputs!C12*Inputs!C13/12*IF($B19=1,Inputs!C14,1))</f>
        <v>15625</v>
      </c>
      <c r="N19" s="15" t="n">
        <f aca="false">IF($A19&lt;=Inputs!C16,Inputs!C15/Inputs!C16,Inputs!C17/12)</f>
        <v>23333.3333333333</v>
      </c>
      <c r="O19" s="15" t="n">
        <f aca="false">L19+M19-N19</f>
        <v>66541.6666666667</v>
      </c>
      <c r="P19" s="15" t="n">
        <f aca="false">P18+O19</f>
        <v>-201125</v>
      </c>
      <c r="Q19" s="15" t="n">
        <f aca="false">O19/(1+Inputs!C18)^($A19/12)</f>
        <v>57752.5475144513</v>
      </c>
      <c r="R19" s="13" t="str">
        <f aca="false">IF(P19&gt;0,$A19,"")</f>
        <v/>
      </c>
    </row>
    <row r="20" customFormat="false" ht="15" hidden="false" customHeight="false" outlineLevel="0" collapsed="false">
      <c r="A20" s="13" t="n">
        <v>16</v>
      </c>
      <c r="B20" s="13" t="n">
        <f aca="false">IF(A20&lt;=Inputs!$B$16,0,MIN(3,INT((A20-Inputs!$B$16-1)/12)+1))</f>
        <v>1</v>
      </c>
      <c r="C20" s="14" t="n">
        <f aca="false">CHOOSE($B20+1,0,Inputs!B7,Inputs!B8,Inputs!B9)</f>
        <v>0.35</v>
      </c>
      <c r="D20" s="15" t="n">
        <f aca="false">Inputs!B5*Inputs!B6*C20*Inputs!B10</f>
        <v>36750</v>
      </c>
      <c r="E20" s="15" t="n">
        <f aca="false">IF($B20=0,0,Inputs!B11*Inputs!B12*Inputs!B13/12*IF($B20=1,Inputs!B14,1))</f>
        <v>6250</v>
      </c>
      <c r="F20" s="15" t="n">
        <f aca="false">IF($A20&lt;=Inputs!B16,Inputs!B15/Inputs!B16,Inputs!B17/12)</f>
        <v>23333.3333333333</v>
      </c>
      <c r="G20" s="15" t="n">
        <f aca="false">D20+E20-F20</f>
        <v>19666.6666666667</v>
      </c>
      <c r="H20" s="15" t="n">
        <f aca="false">H19+G20</f>
        <v>-603333.333333334</v>
      </c>
      <c r="I20" s="15" t="n">
        <f aca="false">G20/(1+Inputs!B18)^($A20/12)</f>
        <v>16908.5640398358</v>
      </c>
      <c r="J20" s="13" t="str">
        <f aca="false">IF(H20&gt;0,$A20,"")</f>
        <v/>
      </c>
      <c r="K20" s="14" t="n">
        <f aca="false">CHOOSE($B20+1,0,Inputs!C7,Inputs!C8,Inputs!C9)</f>
        <v>0.45</v>
      </c>
      <c r="L20" s="15" t="n">
        <f aca="false">Inputs!C5*Inputs!C6*K20*Inputs!C10</f>
        <v>74250</v>
      </c>
      <c r="M20" s="15" t="n">
        <f aca="false">IF($B20=0,0,Inputs!C11*Inputs!C12*Inputs!C13/12*IF($B20=1,Inputs!C14,1))</f>
        <v>15625</v>
      </c>
      <c r="N20" s="15" t="n">
        <f aca="false">IF($A20&lt;=Inputs!C16,Inputs!C15/Inputs!C16,Inputs!C17/12)</f>
        <v>23333.3333333333</v>
      </c>
      <c r="O20" s="15" t="n">
        <f aca="false">L20+M20-N20</f>
        <v>66541.6666666667</v>
      </c>
      <c r="P20" s="15" t="n">
        <f aca="false">P19+O20</f>
        <v>-134583.333333334</v>
      </c>
      <c r="Q20" s="15" t="n">
        <f aca="false">O20/(1+Inputs!C18)^($A20/12)</f>
        <v>57209.6965500376</v>
      </c>
      <c r="R20" s="13" t="str">
        <f aca="false">IF(P20&gt;0,$A20,"")</f>
        <v/>
      </c>
    </row>
    <row r="21" customFormat="false" ht="15" hidden="false" customHeight="false" outlineLevel="0" collapsed="false">
      <c r="A21" s="13" t="n">
        <v>17</v>
      </c>
      <c r="B21" s="13" t="n">
        <f aca="false">IF(A21&lt;=Inputs!$B$16,0,MIN(3,INT((A21-Inputs!$B$16-1)/12)+1))</f>
        <v>1</v>
      </c>
      <c r="C21" s="14" t="n">
        <f aca="false">CHOOSE($B21+1,0,Inputs!B7,Inputs!B8,Inputs!B9)</f>
        <v>0.35</v>
      </c>
      <c r="D21" s="15" t="n">
        <f aca="false">Inputs!B5*Inputs!B6*C21*Inputs!B10</f>
        <v>36750</v>
      </c>
      <c r="E21" s="15" t="n">
        <f aca="false">IF($B21=0,0,Inputs!B11*Inputs!B12*Inputs!B13/12*IF($B21=1,Inputs!B14,1))</f>
        <v>6250</v>
      </c>
      <c r="F21" s="15" t="n">
        <f aca="false">IF($A21&lt;=Inputs!B16,Inputs!B15/Inputs!B16,Inputs!B17/12)</f>
        <v>23333.3333333333</v>
      </c>
      <c r="G21" s="15" t="n">
        <f aca="false">D21+E21-F21</f>
        <v>19666.6666666667</v>
      </c>
      <c r="H21" s="15" t="n">
        <f aca="false">H20+G21</f>
        <v>-583666.666666667</v>
      </c>
      <c r="I21" s="15" t="n">
        <f aca="false">G21/(1+Inputs!B18)^($A21/12)</f>
        <v>16749.6302665061</v>
      </c>
      <c r="J21" s="13" t="str">
        <f aca="false">IF(H21&gt;0,$A21,"")</f>
        <v/>
      </c>
      <c r="K21" s="14" t="n">
        <f aca="false">CHOOSE($B21+1,0,Inputs!C7,Inputs!C8,Inputs!C9)</f>
        <v>0.45</v>
      </c>
      <c r="L21" s="15" t="n">
        <f aca="false">Inputs!C5*Inputs!C6*K21*Inputs!C10</f>
        <v>74250</v>
      </c>
      <c r="M21" s="15" t="n">
        <f aca="false">IF($B21=0,0,Inputs!C11*Inputs!C12*Inputs!C13/12*IF($B21=1,Inputs!C14,1))</f>
        <v>15625</v>
      </c>
      <c r="N21" s="15" t="n">
        <f aca="false">IF($A21&lt;=Inputs!C16,Inputs!C15/Inputs!C16,Inputs!C17/12)</f>
        <v>23333.3333333333</v>
      </c>
      <c r="O21" s="15" t="n">
        <f aca="false">L21+M21-N21</f>
        <v>66541.6666666667</v>
      </c>
      <c r="P21" s="15" t="n">
        <f aca="false">P20+O21</f>
        <v>-68041.6666666668</v>
      </c>
      <c r="Q21" s="15" t="n">
        <f aca="false">O21/(1+Inputs!C18)^($A21/12)</f>
        <v>56671.9481686658</v>
      </c>
      <c r="R21" s="13" t="str">
        <f aca="false">IF(P21&gt;0,$A21,"")</f>
        <v/>
      </c>
    </row>
    <row r="22" customFormat="false" ht="15" hidden="false" customHeight="false" outlineLevel="0" collapsed="false">
      <c r="A22" s="13" t="n">
        <v>18</v>
      </c>
      <c r="B22" s="13" t="n">
        <f aca="false">IF(A22&lt;=Inputs!$B$16,0,MIN(3,INT((A22-Inputs!$B$16-1)/12)+1))</f>
        <v>1</v>
      </c>
      <c r="C22" s="14" t="n">
        <f aca="false">CHOOSE($B22+1,0,Inputs!B7,Inputs!B8,Inputs!B9)</f>
        <v>0.35</v>
      </c>
      <c r="D22" s="15" t="n">
        <f aca="false">Inputs!B5*Inputs!B6*C22*Inputs!B10</f>
        <v>36750</v>
      </c>
      <c r="E22" s="15" t="n">
        <f aca="false">IF($B22=0,0,Inputs!B11*Inputs!B12*Inputs!B13/12*IF($B22=1,Inputs!B14,1))</f>
        <v>6250</v>
      </c>
      <c r="F22" s="15" t="n">
        <f aca="false">IF($A22&lt;=Inputs!B16,Inputs!B15/Inputs!B16,Inputs!B17/12)</f>
        <v>23333.3333333333</v>
      </c>
      <c r="G22" s="15" t="n">
        <f aca="false">D22+E22-F22</f>
        <v>19666.6666666667</v>
      </c>
      <c r="H22" s="15" t="n">
        <f aca="false">H21+G22</f>
        <v>-564000.000000001</v>
      </c>
      <c r="I22" s="15" t="n">
        <f aca="false">G22/(1+Inputs!B18)^($A22/12)</f>
        <v>16592.1904073991</v>
      </c>
      <c r="J22" s="13" t="str">
        <f aca="false">IF(H22&gt;0,$A22,"")</f>
        <v/>
      </c>
      <c r="K22" s="14" t="n">
        <f aca="false">CHOOSE($B22+1,0,Inputs!C7,Inputs!C8,Inputs!C9)</f>
        <v>0.45</v>
      </c>
      <c r="L22" s="15" t="n">
        <f aca="false">Inputs!C5*Inputs!C6*K22*Inputs!C10</f>
        <v>74250</v>
      </c>
      <c r="M22" s="15" t="n">
        <f aca="false">IF($B22=0,0,Inputs!C11*Inputs!C12*Inputs!C13/12*IF($B22=1,Inputs!C14,1))</f>
        <v>15625</v>
      </c>
      <c r="N22" s="15" t="n">
        <f aca="false">IF($A22&lt;=Inputs!C16,Inputs!C15/Inputs!C16,Inputs!C17/12)</f>
        <v>23333.3333333333</v>
      </c>
      <c r="O22" s="15" t="n">
        <f aca="false">L22+M22-N22</f>
        <v>66541.6666666667</v>
      </c>
      <c r="P22" s="15" t="n">
        <f aca="false">P21+O22</f>
        <v>-1500.00000000015</v>
      </c>
      <c r="Q22" s="15" t="n">
        <f aca="false">O22/(1+Inputs!C18)^($A22/12)</f>
        <v>56139.2544080856</v>
      </c>
      <c r="R22" s="13" t="str">
        <f aca="false">IF(P22&gt;0,$A22,"")</f>
        <v/>
      </c>
    </row>
    <row r="23" customFormat="false" ht="15" hidden="false" customHeight="false" outlineLevel="0" collapsed="false">
      <c r="A23" s="13" t="n">
        <v>19</v>
      </c>
      <c r="B23" s="13" t="n">
        <f aca="false">IF(A23&lt;=Inputs!$B$16,0,MIN(3,INT((A23-Inputs!$B$16-1)/12)+1))</f>
        <v>2</v>
      </c>
      <c r="C23" s="14" t="n">
        <f aca="false">CHOOSE($B23+1,0,Inputs!B7,Inputs!B8,Inputs!B9)</f>
        <v>0.6</v>
      </c>
      <c r="D23" s="15" t="n">
        <f aca="false">Inputs!B5*Inputs!B6*C23*Inputs!B10</f>
        <v>63000</v>
      </c>
      <c r="E23" s="15" t="n">
        <f aca="false">IF($B23=0,0,Inputs!B11*Inputs!B12*Inputs!B13/12*IF($B23=1,Inputs!B14,1))</f>
        <v>12500</v>
      </c>
      <c r="F23" s="15" t="n">
        <f aca="false">IF($A23&lt;=Inputs!B16,Inputs!B15/Inputs!B16,Inputs!B17/12)</f>
        <v>23333.3333333333</v>
      </c>
      <c r="G23" s="15" t="n">
        <f aca="false">D23+E23-F23</f>
        <v>52166.6666666667</v>
      </c>
      <c r="H23" s="15" t="n">
        <f aca="false">H22+G23</f>
        <v>-511833.333333334</v>
      </c>
      <c r="I23" s="15" t="n">
        <f aca="false">G23/(1+Inputs!B18)^($A23/12)</f>
        <v>43597.7976403288</v>
      </c>
      <c r="J23" s="13" t="str">
        <f aca="false">IF(H23&gt;0,$A23,"")</f>
        <v/>
      </c>
      <c r="K23" s="14" t="n">
        <f aca="false">CHOOSE($B23+1,0,Inputs!C7,Inputs!C8,Inputs!C9)</f>
        <v>0.75</v>
      </c>
      <c r="L23" s="15" t="n">
        <f aca="false">Inputs!C5*Inputs!C6*K23*Inputs!C10</f>
        <v>123750</v>
      </c>
      <c r="M23" s="15" t="n">
        <f aca="false">IF($B23=0,0,Inputs!C11*Inputs!C12*Inputs!C13/12*IF($B23=1,Inputs!C14,1))</f>
        <v>31250</v>
      </c>
      <c r="N23" s="15" t="n">
        <f aca="false">IF($A23&lt;=Inputs!C16,Inputs!C15/Inputs!C16,Inputs!C17/12)</f>
        <v>23333.3333333333</v>
      </c>
      <c r="O23" s="15" t="n">
        <f aca="false">L23+M23-N23</f>
        <v>131666.666666667</v>
      </c>
      <c r="P23" s="15" t="n">
        <f aca="false">P22+O23</f>
        <v>130166.666666667</v>
      </c>
      <c r="Q23" s="15" t="n">
        <f aca="false">O23/(1+Inputs!C18)^($A23/12)</f>
        <v>110039.16976313</v>
      </c>
      <c r="R23" s="13" t="n">
        <f aca="false">IF(P23&gt;0,$A23,"")</f>
        <v>19</v>
      </c>
    </row>
    <row r="24" customFormat="false" ht="15" hidden="false" customHeight="false" outlineLevel="0" collapsed="false">
      <c r="A24" s="13" t="n">
        <v>20</v>
      </c>
      <c r="B24" s="13" t="n">
        <f aca="false">IF(A24&lt;=Inputs!$B$16,0,MIN(3,INT((A24-Inputs!$B$16-1)/12)+1))</f>
        <v>2</v>
      </c>
      <c r="C24" s="14" t="n">
        <f aca="false">CHOOSE($B24+1,0,Inputs!B7,Inputs!B8,Inputs!B9)</f>
        <v>0.6</v>
      </c>
      <c r="D24" s="15" t="n">
        <f aca="false">Inputs!B5*Inputs!B6*C24*Inputs!B10</f>
        <v>63000</v>
      </c>
      <c r="E24" s="15" t="n">
        <f aca="false">IF($B24=0,0,Inputs!B11*Inputs!B12*Inputs!B13/12*IF($B24=1,Inputs!B14,1))</f>
        <v>12500</v>
      </c>
      <c r="F24" s="15" t="n">
        <f aca="false">IF($A24&lt;=Inputs!B16,Inputs!B15/Inputs!B16,Inputs!B17/12)</f>
        <v>23333.3333333333</v>
      </c>
      <c r="G24" s="15" t="n">
        <f aca="false">D24+E24-F24</f>
        <v>52166.6666666667</v>
      </c>
      <c r="H24" s="15" t="n">
        <f aca="false">H23+G24</f>
        <v>-459666.666666667</v>
      </c>
      <c r="I24" s="15" t="n">
        <f aca="false">G24/(1+Inputs!B18)^($A24/12)</f>
        <v>43187.9956919482</v>
      </c>
      <c r="J24" s="13" t="str">
        <f aca="false">IF(H24&gt;0,$A24,"")</f>
        <v/>
      </c>
      <c r="K24" s="14" t="n">
        <f aca="false">CHOOSE($B24+1,0,Inputs!C7,Inputs!C8,Inputs!C9)</f>
        <v>0.75</v>
      </c>
      <c r="L24" s="15" t="n">
        <f aca="false">Inputs!C5*Inputs!C6*K24*Inputs!C10</f>
        <v>123750</v>
      </c>
      <c r="M24" s="15" t="n">
        <f aca="false">IF($B24=0,0,Inputs!C11*Inputs!C12*Inputs!C13/12*IF($B24=1,Inputs!C14,1))</f>
        <v>31250</v>
      </c>
      <c r="N24" s="15" t="n">
        <f aca="false">IF($A24&lt;=Inputs!C16,Inputs!C15/Inputs!C16,Inputs!C17/12)</f>
        <v>23333.3333333333</v>
      </c>
      <c r="O24" s="15" t="n">
        <f aca="false">L24+M24-N24</f>
        <v>131666.666666667</v>
      </c>
      <c r="P24" s="15" t="n">
        <f aca="false">P23+O24</f>
        <v>261833.333333333</v>
      </c>
      <c r="Q24" s="15" t="n">
        <f aca="false">O24/(1+Inputs!C18)^($A24/12)</f>
        <v>109004.845356674</v>
      </c>
      <c r="R24" s="13" t="n">
        <f aca="false">IF(P24&gt;0,$A24,"")</f>
        <v>20</v>
      </c>
    </row>
    <row r="25" customFormat="false" ht="15" hidden="false" customHeight="false" outlineLevel="0" collapsed="false">
      <c r="A25" s="13" t="n">
        <v>21</v>
      </c>
      <c r="B25" s="13" t="n">
        <f aca="false">IF(A25&lt;=Inputs!$B$16,0,MIN(3,INT((A25-Inputs!$B$16-1)/12)+1))</f>
        <v>2</v>
      </c>
      <c r="C25" s="14" t="n">
        <f aca="false">CHOOSE($B25+1,0,Inputs!B7,Inputs!B8,Inputs!B9)</f>
        <v>0.6</v>
      </c>
      <c r="D25" s="15" t="n">
        <f aca="false">Inputs!B5*Inputs!B6*C25*Inputs!B10</f>
        <v>63000</v>
      </c>
      <c r="E25" s="15" t="n">
        <f aca="false">IF($B25=0,0,Inputs!B11*Inputs!B12*Inputs!B13/12*IF($B25=1,Inputs!B14,1))</f>
        <v>12500</v>
      </c>
      <c r="F25" s="15" t="n">
        <f aca="false">IF($A25&lt;=Inputs!B16,Inputs!B15/Inputs!B16,Inputs!B17/12)</f>
        <v>23333.3333333333</v>
      </c>
      <c r="G25" s="15" t="n">
        <f aca="false">D25+E25-F25</f>
        <v>52166.6666666667</v>
      </c>
      <c r="H25" s="15" t="n">
        <f aca="false">H24+G25</f>
        <v>-407500.000000001</v>
      </c>
      <c r="I25" s="15" t="n">
        <f aca="false">G25/(1+Inputs!B18)^($A25/12)</f>
        <v>42782.0457188046</v>
      </c>
      <c r="J25" s="13" t="str">
        <f aca="false">IF(H25&gt;0,$A25,"")</f>
        <v/>
      </c>
      <c r="K25" s="14" t="n">
        <f aca="false">CHOOSE($B25+1,0,Inputs!C7,Inputs!C8,Inputs!C9)</f>
        <v>0.75</v>
      </c>
      <c r="L25" s="15" t="n">
        <f aca="false">Inputs!C5*Inputs!C6*K25*Inputs!C10</f>
        <v>123750</v>
      </c>
      <c r="M25" s="15" t="n">
        <f aca="false">IF($B25=0,0,Inputs!C11*Inputs!C12*Inputs!C13/12*IF($B25=1,Inputs!C14,1))</f>
        <v>31250</v>
      </c>
      <c r="N25" s="15" t="n">
        <f aca="false">IF($A25&lt;=Inputs!C16,Inputs!C15/Inputs!C16,Inputs!C17/12)</f>
        <v>23333.3333333333</v>
      </c>
      <c r="O25" s="15" t="n">
        <f aca="false">L25+M25-N25</f>
        <v>131666.666666667</v>
      </c>
      <c r="P25" s="15" t="n">
        <f aca="false">P24+O25</f>
        <v>393500</v>
      </c>
      <c r="Q25" s="15" t="n">
        <f aca="false">O25/(1+Inputs!C18)^($A25/12)</f>
        <v>107980.243188037</v>
      </c>
      <c r="R25" s="13" t="n">
        <f aca="false">IF(P25&gt;0,$A25,"")</f>
        <v>21</v>
      </c>
    </row>
    <row r="26" customFormat="false" ht="15" hidden="false" customHeight="false" outlineLevel="0" collapsed="false">
      <c r="A26" s="13" t="n">
        <v>22</v>
      </c>
      <c r="B26" s="13" t="n">
        <f aca="false">IF(A26&lt;=Inputs!$B$16,0,MIN(3,INT((A26-Inputs!$B$16-1)/12)+1))</f>
        <v>2</v>
      </c>
      <c r="C26" s="14" t="n">
        <f aca="false">CHOOSE($B26+1,0,Inputs!B7,Inputs!B8,Inputs!B9)</f>
        <v>0.6</v>
      </c>
      <c r="D26" s="15" t="n">
        <f aca="false">Inputs!B5*Inputs!B6*C26*Inputs!B10</f>
        <v>63000</v>
      </c>
      <c r="E26" s="15" t="n">
        <f aca="false">IF($B26=0,0,Inputs!B11*Inputs!B12*Inputs!B13/12*IF($B26=1,Inputs!B14,1))</f>
        <v>12500</v>
      </c>
      <c r="F26" s="15" t="n">
        <f aca="false">IF($A26&lt;=Inputs!B16,Inputs!B15/Inputs!B16,Inputs!B17/12)</f>
        <v>23333.3333333333</v>
      </c>
      <c r="G26" s="15" t="n">
        <f aca="false">D26+E26-F26</f>
        <v>52166.6666666667</v>
      </c>
      <c r="H26" s="15" t="n">
        <f aca="false">H25+G26</f>
        <v>-355333.333333334</v>
      </c>
      <c r="I26" s="15" t="n">
        <f aca="false">G26/(1+Inputs!B18)^($A26/12)</f>
        <v>42379.9115138636</v>
      </c>
      <c r="J26" s="13" t="str">
        <f aca="false">IF(H26&gt;0,$A26,"")</f>
        <v/>
      </c>
      <c r="K26" s="14" t="n">
        <f aca="false">CHOOSE($B26+1,0,Inputs!C7,Inputs!C8,Inputs!C9)</f>
        <v>0.75</v>
      </c>
      <c r="L26" s="15" t="n">
        <f aca="false">Inputs!C5*Inputs!C6*K26*Inputs!C10</f>
        <v>123750</v>
      </c>
      <c r="M26" s="15" t="n">
        <f aca="false">IF($B26=0,0,Inputs!C11*Inputs!C12*Inputs!C13/12*IF($B26=1,Inputs!C14,1))</f>
        <v>31250</v>
      </c>
      <c r="N26" s="15" t="n">
        <f aca="false">IF($A26&lt;=Inputs!C16,Inputs!C15/Inputs!C16,Inputs!C17/12)</f>
        <v>23333.3333333333</v>
      </c>
      <c r="O26" s="15" t="n">
        <f aca="false">L26+M26-N26</f>
        <v>131666.666666667</v>
      </c>
      <c r="P26" s="15" t="n">
        <f aca="false">P25+O26</f>
        <v>525166.666666667</v>
      </c>
      <c r="Q26" s="15" t="n">
        <f aca="false">O26/(1+Inputs!C18)^($A26/12)</f>
        <v>106965.271872052</v>
      </c>
      <c r="R26" s="13" t="n">
        <f aca="false">IF(P26&gt;0,$A26,"")</f>
        <v>22</v>
      </c>
    </row>
    <row r="27" customFormat="false" ht="15" hidden="false" customHeight="false" outlineLevel="0" collapsed="false">
      <c r="A27" s="13" t="n">
        <v>23</v>
      </c>
      <c r="B27" s="13" t="n">
        <f aca="false">IF(A27&lt;=Inputs!$B$16,0,MIN(3,INT((A27-Inputs!$B$16-1)/12)+1))</f>
        <v>2</v>
      </c>
      <c r="C27" s="14" t="n">
        <f aca="false">CHOOSE($B27+1,0,Inputs!B7,Inputs!B8,Inputs!B9)</f>
        <v>0.6</v>
      </c>
      <c r="D27" s="15" t="n">
        <f aca="false">Inputs!B5*Inputs!B6*C27*Inputs!B10</f>
        <v>63000</v>
      </c>
      <c r="E27" s="15" t="n">
        <f aca="false">IF($B27=0,0,Inputs!B11*Inputs!B12*Inputs!B13/12*IF($B27=1,Inputs!B14,1))</f>
        <v>12500</v>
      </c>
      <c r="F27" s="15" t="n">
        <f aca="false">IF($A27&lt;=Inputs!B16,Inputs!B15/Inputs!B16,Inputs!B17/12)</f>
        <v>23333.3333333333</v>
      </c>
      <c r="G27" s="15" t="n">
        <f aca="false">D27+E27-F27</f>
        <v>52166.6666666667</v>
      </c>
      <c r="H27" s="15" t="n">
        <f aca="false">H26+G27</f>
        <v>-303166.666666667</v>
      </c>
      <c r="I27" s="15" t="n">
        <f aca="false">G27/(1+Inputs!B18)^($A27/12)</f>
        <v>41981.5572104226</v>
      </c>
      <c r="J27" s="13" t="str">
        <f aca="false">IF(H27&gt;0,$A27,"")</f>
        <v/>
      </c>
      <c r="K27" s="14" t="n">
        <f aca="false">CHOOSE($B27+1,0,Inputs!C7,Inputs!C8,Inputs!C9)</f>
        <v>0.75</v>
      </c>
      <c r="L27" s="15" t="n">
        <f aca="false">Inputs!C5*Inputs!C6*K27*Inputs!C10</f>
        <v>123750</v>
      </c>
      <c r="M27" s="15" t="n">
        <f aca="false">IF($B27=0,0,Inputs!C11*Inputs!C12*Inputs!C13/12*IF($B27=1,Inputs!C14,1))</f>
        <v>31250</v>
      </c>
      <c r="N27" s="15" t="n">
        <f aca="false">IF($A27&lt;=Inputs!C16,Inputs!C15/Inputs!C16,Inputs!C17/12)</f>
        <v>23333.3333333333</v>
      </c>
      <c r="O27" s="15" t="n">
        <f aca="false">L27+M27-N27</f>
        <v>131666.666666667</v>
      </c>
      <c r="P27" s="15" t="n">
        <f aca="false">P26+O27</f>
        <v>656833.333333333</v>
      </c>
      <c r="Q27" s="15" t="n">
        <f aca="false">O27/(1+Inputs!C18)^($A27/12)</f>
        <v>105959.840882536</v>
      </c>
      <c r="R27" s="13" t="n">
        <f aca="false">IF(P27&gt;0,$A27,"")</f>
        <v>23</v>
      </c>
    </row>
    <row r="28" customFormat="false" ht="15" hidden="false" customHeight="false" outlineLevel="0" collapsed="false">
      <c r="A28" s="13" t="n">
        <v>24</v>
      </c>
      <c r="B28" s="13" t="n">
        <f aca="false">IF(A28&lt;=Inputs!$B$16,0,MIN(3,INT((A28-Inputs!$B$16-1)/12)+1))</f>
        <v>2</v>
      </c>
      <c r="C28" s="14" t="n">
        <f aca="false">CHOOSE($B28+1,0,Inputs!B7,Inputs!B8,Inputs!B9)</f>
        <v>0.6</v>
      </c>
      <c r="D28" s="15" t="n">
        <f aca="false">Inputs!B5*Inputs!B6*C28*Inputs!B10</f>
        <v>63000</v>
      </c>
      <c r="E28" s="15" t="n">
        <f aca="false">IF($B28=0,0,Inputs!B11*Inputs!B12*Inputs!B13/12*IF($B28=1,Inputs!B14,1))</f>
        <v>12500</v>
      </c>
      <c r="F28" s="15" t="n">
        <f aca="false">IF($A28&lt;=Inputs!B16,Inputs!B15/Inputs!B16,Inputs!B17/12)</f>
        <v>23333.3333333333</v>
      </c>
      <c r="G28" s="15" t="n">
        <f aca="false">D28+E28-F28</f>
        <v>52166.6666666667</v>
      </c>
      <c r="H28" s="15" t="n">
        <f aca="false">H27+G28</f>
        <v>-251000</v>
      </c>
      <c r="I28" s="15" t="n">
        <f aca="false">G28/(1+Inputs!B18)^($A28/12)</f>
        <v>41586.9472789116</v>
      </c>
      <c r="J28" s="13" t="str">
        <f aca="false">IF(H28&gt;0,$A28,"")</f>
        <v/>
      </c>
      <c r="K28" s="14" t="n">
        <f aca="false">CHOOSE($B28+1,0,Inputs!C7,Inputs!C8,Inputs!C9)</f>
        <v>0.75</v>
      </c>
      <c r="L28" s="15" t="n">
        <f aca="false">Inputs!C5*Inputs!C6*K28*Inputs!C10</f>
        <v>123750</v>
      </c>
      <c r="M28" s="15" t="n">
        <f aca="false">IF($B28=0,0,Inputs!C11*Inputs!C12*Inputs!C13/12*IF($B28=1,Inputs!C14,1))</f>
        <v>31250</v>
      </c>
      <c r="N28" s="15" t="n">
        <f aca="false">IF($A28&lt;=Inputs!C16,Inputs!C15/Inputs!C16,Inputs!C17/12)</f>
        <v>23333.3333333333</v>
      </c>
      <c r="O28" s="15" t="n">
        <f aca="false">L28+M28-N28</f>
        <v>131666.666666667</v>
      </c>
      <c r="P28" s="15" t="n">
        <f aca="false">P27+O28</f>
        <v>788500</v>
      </c>
      <c r="Q28" s="15" t="n">
        <f aca="false">O28/(1+Inputs!C18)^($A28/12)</f>
        <v>104963.860544218</v>
      </c>
      <c r="R28" s="13" t="n">
        <f aca="false">IF(P28&gt;0,$A28,"")</f>
        <v>24</v>
      </c>
    </row>
    <row r="29" customFormat="false" ht="15" hidden="false" customHeight="false" outlineLevel="0" collapsed="false">
      <c r="A29" s="13" t="n">
        <v>25</v>
      </c>
      <c r="B29" s="13" t="n">
        <f aca="false">IF(A29&lt;=Inputs!$B$16,0,MIN(3,INT((A29-Inputs!$B$16-1)/12)+1))</f>
        <v>2</v>
      </c>
      <c r="C29" s="14" t="n">
        <f aca="false">CHOOSE($B29+1,0,Inputs!B7,Inputs!B8,Inputs!B9)</f>
        <v>0.6</v>
      </c>
      <c r="D29" s="15" t="n">
        <f aca="false">Inputs!B5*Inputs!B6*C29*Inputs!B10</f>
        <v>63000</v>
      </c>
      <c r="E29" s="15" t="n">
        <f aca="false">IF($B29=0,0,Inputs!B11*Inputs!B12*Inputs!B13/12*IF($B29=1,Inputs!B14,1))</f>
        <v>12500</v>
      </c>
      <c r="F29" s="15" t="n">
        <f aca="false">IF($A29&lt;=Inputs!B16,Inputs!B15/Inputs!B16,Inputs!B17/12)</f>
        <v>23333.3333333333</v>
      </c>
      <c r="G29" s="15" t="n">
        <f aca="false">D29+E29-F29</f>
        <v>52166.6666666667</v>
      </c>
      <c r="H29" s="15" t="n">
        <f aca="false">H28+G29</f>
        <v>-198833.333333334</v>
      </c>
      <c r="I29" s="15" t="n">
        <f aca="false">G29/(1+Inputs!B18)^($A29/12)</f>
        <v>41196.0465237245</v>
      </c>
      <c r="J29" s="13" t="str">
        <f aca="false">IF(H29&gt;0,$A29,"")</f>
        <v/>
      </c>
      <c r="K29" s="14" t="n">
        <f aca="false">CHOOSE($B29+1,0,Inputs!C7,Inputs!C8,Inputs!C9)</f>
        <v>0.75</v>
      </c>
      <c r="L29" s="15" t="n">
        <f aca="false">Inputs!C5*Inputs!C6*K29*Inputs!C10</f>
        <v>123750</v>
      </c>
      <c r="M29" s="15" t="n">
        <f aca="false">IF($B29=0,0,Inputs!C11*Inputs!C12*Inputs!C13/12*IF($B29=1,Inputs!C14,1))</f>
        <v>31250</v>
      </c>
      <c r="N29" s="15" t="n">
        <f aca="false">IF($A29&lt;=Inputs!C16,Inputs!C15/Inputs!C16,Inputs!C17/12)</f>
        <v>23333.3333333333</v>
      </c>
      <c r="O29" s="15" t="n">
        <f aca="false">L29+M29-N29</f>
        <v>131666.666666667</v>
      </c>
      <c r="P29" s="15" t="n">
        <f aca="false">P28+O29</f>
        <v>920166.666666666</v>
      </c>
      <c r="Q29" s="15" t="n">
        <f aca="false">O29/(1+Inputs!C18)^($A29/12)</f>
        <v>103977.242024736</v>
      </c>
      <c r="R29" s="13" t="n">
        <f aca="false">IF(P29&gt;0,$A29,"")</f>
        <v>25</v>
      </c>
    </row>
    <row r="30" customFormat="false" ht="15" hidden="false" customHeight="false" outlineLevel="0" collapsed="false">
      <c r="A30" s="13" t="n">
        <v>26</v>
      </c>
      <c r="B30" s="13" t="n">
        <f aca="false">IF(A30&lt;=Inputs!$B$16,0,MIN(3,INT((A30-Inputs!$B$16-1)/12)+1))</f>
        <v>2</v>
      </c>
      <c r="C30" s="14" t="n">
        <f aca="false">CHOOSE($B30+1,0,Inputs!B7,Inputs!B8,Inputs!B9)</f>
        <v>0.6</v>
      </c>
      <c r="D30" s="15" t="n">
        <f aca="false">Inputs!B5*Inputs!B6*C30*Inputs!B10</f>
        <v>63000</v>
      </c>
      <c r="E30" s="15" t="n">
        <f aca="false">IF($B30=0,0,Inputs!B11*Inputs!B12*Inputs!B13/12*IF($B30=1,Inputs!B14,1))</f>
        <v>12500</v>
      </c>
      <c r="F30" s="15" t="n">
        <f aca="false">IF($A30&lt;=Inputs!B16,Inputs!B15/Inputs!B16,Inputs!B17/12)</f>
        <v>23333.3333333333</v>
      </c>
      <c r="G30" s="15" t="n">
        <f aca="false">D30+E30-F30</f>
        <v>52166.6666666667</v>
      </c>
      <c r="H30" s="15" t="n">
        <f aca="false">H29+G30</f>
        <v>-146666.666666667</v>
      </c>
      <c r="I30" s="15" t="n">
        <f aca="false">G30/(1+Inputs!B18)^($A30/12)</f>
        <v>40808.82008008</v>
      </c>
      <c r="J30" s="13" t="str">
        <f aca="false">IF(H30&gt;0,$A30,"")</f>
        <v/>
      </c>
      <c r="K30" s="14" t="n">
        <f aca="false">CHOOSE($B30+1,0,Inputs!C7,Inputs!C8,Inputs!C9)</f>
        <v>0.75</v>
      </c>
      <c r="L30" s="15" t="n">
        <f aca="false">Inputs!C5*Inputs!C6*K30*Inputs!C10</f>
        <v>123750</v>
      </c>
      <c r="M30" s="15" t="n">
        <f aca="false">IF($B30=0,0,Inputs!C11*Inputs!C12*Inputs!C13/12*IF($B30=1,Inputs!C14,1))</f>
        <v>31250</v>
      </c>
      <c r="N30" s="15" t="n">
        <f aca="false">IF($A30&lt;=Inputs!C16,Inputs!C15/Inputs!C16,Inputs!C17/12)</f>
        <v>23333.3333333333</v>
      </c>
      <c r="O30" s="15" t="n">
        <f aca="false">L30+M30-N30</f>
        <v>131666.666666667</v>
      </c>
      <c r="P30" s="15" t="n">
        <f aca="false">P29+O30</f>
        <v>1051833.33333333</v>
      </c>
      <c r="Q30" s="15" t="n">
        <f aca="false">O30/(1+Inputs!C18)^($A30/12)</f>
        <v>102999.897326719</v>
      </c>
      <c r="R30" s="13" t="n">
        <f aca="false">IF(P30&gt;0,$A30,"")</f>
        <v>26</v>
      </c>
    </row>
    <row r="31" customFormat="false" ht="15" hidden="false" customHeight="false" outlineLevel="0" collapsed="false">
      <c r="A31" s="13" t="n">
        <v>27</v>
      </c>
      <c r="B31" s="13" t="n">
        <f aca="false">IF(A31&lt;=Inputs!$B$16,0,MIN(3,INT((A31-Inputs!$B$16-1)/12)+1))</f>
        <v>2</v>
      </c>
      <c r="C31" s="14" t="n">
        <f aca="false">CHOOSE($B31+1,0,Inputs!B7,Inputs!B8,Inputs!B9)</f>
        <v>0.6</v>
      </c>
      <c r="D31" s="15" t="n">
        <f aca="false">Inputs!B5*Inputs!B6*C31*Inputs!B10</f>
        <v>63000</v>
      </c>
      <c r="E31" s="15" t="n">
        <f aca="false">IF($B31=0,0,Inputs!B11*Inputs!B12*Inputs!B13/12*IF($B31=1,Inputs!B14,1))</f>
        <v>12500</v>
      </c>
      <c r="F31" s="15" t="n">
        <f aca="false">IF($A31&lt;=Inputs!B16,Inputs!B15/Inputs!B16,Inputs!B17/12)</f>
        <v>23333.3333333333</v>
      </c>
      <c r="G31" s="15" t="n">
        <f aca="false">D31+E31-F31</f>
        <v>52166.6666666667</v>
      </c>
      <c r="H31" s="15" t="n">
        <f aca="false">H30+G31</f>
        <v>-94500.0000000004</v>
      </c>
      <c r="I31" s="15" t="n">
        <f aca="false">G31/(1+Inputs!B18)^($A31/12)</f>
        <v>40425.2334109116</v>
      </c>
      <c r="J31" s="13" t="str">
        <f aca="false">IF(H31&gt;0,$A31,"")</f>
        <v/>
      </c>
      <c r="K31" s="14" t="n">
        <f aca="false">CHOOSE($B31+1,0,Inputs!C7,Inputs!C8,Inputs!C9)</f>
        <v>0.75</v>
      </c>
      <c r="L31" s="15" t="n">
        <f aca="false">Inputs!C5*Inputs!C6*K31*Inputs!C10</f>
        <v>123750</v>
      </c>
      <c r="M31" s="15" t="n">
        <f aca="false">IF($B31=0,0,Inputs!C11*Inputs!C12*Inputs!C13/12*IF($B31=1,Inputs!C14,1))</f>
        <v>31250</v>
      </c>
      <c r="N31" s="15" t="n">
        <f aca="false">IF($A31&lt;=Inputs!C16,Inputs!C15/Inputs!C16,Inputs!C17/12)</f>
        <v>23333.3333333333</v>
      </c>
      <c r="O31" s="15" t="n">
        <f aca="false">L31+M31-N31</f>
        <v>131666.666666667</v>
      </c>
      <c r="P31" s="15" t="n">
        <f aca="false">P30+O31</f>
        <v>1183500</v>
      </c>
      <c r="Q31" s="15" t="n">
        <f aca="false">O31/(1+Inputs!C18)^($A31/12)</f>
        <v>102031.739279937</v>
      </c>
      <c r="R31" s="13" t="n">
        <f aca="false">IF(P31&gt;0,$A31,"")</f>
        <v>27</v>
      </c>
    </row>
    <row r="32" customFormat="false" ht="15" hidden="false" customHeight="false" outlineLevel="0" collapsed="false">
      <c r="A32" s="13" t="n">
        <v>28</v>
      </c>
      <c r="B32" s="13" t="n">
        <f aca="false">IF(A32&lt;=Inputs!$B$16,0,MIN(3,INT((A32-Inputs!$B$16-1)/12)+1))</f>
        <v>2</v>
      </c>
      <c r="C32" s="14" t="n">
        <f aca="false">CHOOSE($B32+1,0,Inputs!B7,Inputs!B8,Inputs!B9)</f>
        <v>0.6</v>
      </c>
      <c r="D32" s="15" t="n">
        <f aca="false">Inputs!B5*Inputs!B6*C32*Inputs!B10</f>
        <v>63000</v>
      </c>
      <c r="E32" s="15" t="n">
        <f aca="false">IF($B32=0,0,Inputs!B11*Inputs!B12*Inputs!B13/12*IF($B32=1,Inputs!B14,1))</f>
        <v>12500</v>
      </c>
      <c r="F32" s="15" t="n">
        <f aca="false">IF($A32&lt;=Inputs!B16,Inputs!B15/Inputs!B16,Inputs!B17/12)</f>
        <v>23333.3333333333</v>
      </c>
      <c r="G32" s="15" t="n">
        <f aca="false">D32+E32-F32</f>
        <v>52166.6666666667</v>
      </c>
      <c r="H32" s="15" t="n">
        <f aca="false">H31+G32</f>
        <v>-42333.3333333338</v>
      </c>
      <c r="I32" s="15" t="n">
        <f aca="false">G32/(1+Inputs!B18)^($A32/12)</f>
        <v>40045.2523037879</v>
      </c>
      <c r="J32" s="13" t="str">
        <f aca="false">IF(H32&gt;0,$A32,"")</f>
        <v/>
      </c>
      <c r="K32" s="14" t="n">
        <f aca="false">CHOOSE($B32+1,0,Inputs!C7,Inputs!C8,Inputs!C9)</f>
        <v>0.75</v>
      </c>
      <c r="L32" s="15" t="n">
        <f aca="false">Inputs!C5*Inputs!C6*K32*Inputs!C10</f>
        <v>123750</v>
      </c>
      <c r="M32" s="15" t="n">
        <f aca="false">IF($B32=0,0,Inputs!C11*Inputs!C12*Inputs!C13/12*IF($B32=1,Inputs!C14,1))</f>
        <v>31250</v>
      </c>
      <c r="N32" s="15" t="n">
        <f aca="false">IF($A32&lt;=Inputs!C16,Inputs!C15/Inputs!C16,Inputs!C17/12)</f>
        <v>23333.3333333333</v>
      </c>
      <c r="O32" s="15" t="n">
        <f aca="false">L32+M32-N32</f>
        <v>131666.666666667</v>
      </c>
      <c r="P32" s="15" t="n">
        <f aca="false">P31+O32</f>
        <v>1315166.66666667</v>
      </c>
      <c r="Q32" s="15" t="n">
        <f aca="false">O32/(1+Inputs!C18)^($A32/12)</f>
        <v>101072.681533522</v>
      </c>
      <c r="R32" s="13" t="n">
        <f aca="false">IF(P32&gt;0,$A32,"")</f>
        <v>28</v>
      </c>
    </row>
    <row r="33" customFormat="false" ht="15" hidden="false" customHeight="false" outlineLevel="0" collapsed="false">
      <c r="A33" s="13" t="n">
        <v>29</v>
      </c>
      <c r="B33" s="13" t="n">
        <f aca="false">IF(A33&lt;=Inputs!$B$16,0,MIN(3,INT((A33-Inputs!$B$16-1)/12)+1))</f>
        <v>2</v>
      </c>
      <c r="C33" s="14" t="n">
        <f aca="false">CHOOSE($B33+1,0,Inputs!B7,Inputs!B8,Inputs!B9)</f>
        <v>0.6</v>
      </c>
      <c r="D33" s="15" t="n">
        <f aca="false">Inputs!B5*Inputs!B6*C33*Inputs!B10</f>
        <v>63000</v>
      </c>
      <c r="E33" s="15" t="n">
        <f aca="false">IF($B33=0,0,Inputs!B11*Inputs!B12*Inputs!B13/12*IF($B33=1,Inputs!B14,1))</f>
        <v>12500</v>
      </c>
      <c r="F33" s="15" t="n">
        <f aca="false">IF($A33&lt;=Inputs!B16,Inputs!B15/Inputs!B16,Inputs!B17/12)</f>
        <v>23333.3333333333</v>
      </c>
      <c r="G33" s="15" t="n">
        <f aca="false">D33+E33-F33</f>
        <v>52166.6666666667</v>
      </c>
      <c r="H33" s="15" t="n">
        <f aca="false">H32+G33</f>
        <v>9833.33333333292</v>
      </c>
      <c r="I33" s="15" t="n">
        <f aca="false">G33/(1+Inputs!B18)^($A33/12)</f>
        <v>39668.8428678602</v>
      </c>
      <c r="J33" s="13" t="n">
        <f aca="false">IF(H33&gt;0,$A33,"")</f>
        <v>29</v>
      </c>
      <c r="K33" s="14" t="n">
        <f aca="false">CHOOSE($B33+1,0,Inputs!C7,Inputs!C8,Inputs!C9)</f>
        <v>0.75</v>
      </c>
      <c r="L33" s="15" t="n">
        <f aca="false">Inputs!C5*Inputs!C6*K33*Inputs!C10</f>
        <v>123750</v>
      </c>
      <c r="M33" s="15" t="n">
        <f aca="false">IF($B33=0,0,Inputs!C11*Inputs!C12*Inputs!C13/12*IF($B33=1,Inputs!C14,1))</f>
        <v>31250</v>
      </c>
      <c r="N33" s="15" t="n">
        <f aca="false">IF($A33&lt;=Inputs!C16,Inputs!C15/Inputs!C16,Inputs!C17/12)</f>
        <v>23333.3333333333</v>
      </c>
      <c r="O33" s="15" t="n">
        <f aca="false">L33+M33-N33</f>
        <v>131666.666666667</v>
      </c>
      <c r="P33" s="15" t="n">
        <f aca="false">P32+O33</f>
        <v>1446833.33333333</v>
      </c>
      <c r="Q33" s="15" t="n">
        <f aca="false">O33/(1+Inputs!C18)^($A33/12)</f>
        <v>100122.638548273</v>
      </c>
      <c r="R33" s="13" t="n">
        <f aca="false">IF(P33&gt;0,$A33,"")</f>
        <v>29</v>
      </c>
    </row>
    <row r="34" customFormat="false" ht="15" hidden="false" customHeight="false" outlineLevel="0" collapsed="false">
      <c r="A34" s="13" t="n">
        <v>30</v>
      </c>
      <c r="B34" s="13" t="n">
        <f aca="false">IF(A34&lt;=Inputs!$B$16,0,MIN(3,INT((A34-Inputs!$B$16-1)/12)+1))</f>
        <v>2</v>
      </c>
      <c r="C34" s="14" t="n">
        <f aca="false">CHOOSE($B34+1,0,Inputs!B7,Inputs!B8,Inputs!B9)</f>
        <v>0.6</v>
      </c>
      <c r="D34" s="15" t="n">
        <f aca="false">Inputs!B5*Inputs!B6*C34*Inputs!B10</f>
        <v>63000</v>
      </c>
      <c r="E34" s="15" t="n">
        <f aca="false">IF($B34=0,0,Inputs!B11*Inputs!B12*Inputs!B13/12*IF($B34=1,Inputs!B14,1))</f>
        <v>12500</v>
      </c>
      <c r="F34" s="15" t="n">
        <f aca="false">IF($A34&lt;=Inputs!B16,Inputs!B15/Inputs!B16,Inputs!B17/12)</f>
        <v>23333.3333333333</v>
      </c>
      <c r="G34" s="15" t="n">
        <f aca="false">D34+E34-F34</f>
        <v>52166.6666666667</v>
      </c>
      <c r="H34" s="15" t="n">
        <f aca="false">H33+G34</f>
        <v>61999.9999999996</v>
      </c>
      <c r="I34" s="15" t="n">
        <f aca="false">G34/(1+Inputs!B18)^($A34/12)</f>
        <v>39295.9715308408</v>
      </c>
      <c r="J34" s="13" t="n">
        <f aca="false">IF(H34&gt;0,$A34,"")</f>
        <v>30</v>
      </c>
      <c r="K34" s="14" t="n">
        <f aca="false">CHOOSE($B34+1,0,Inputs!C7,Inputs!C8,Inputs!C9)</f>
        <v>0.75</v>
      </c>
      <c r="L34" s="15" t="n">
        <f aca="false">Inputs!C5*Inputs!C6*K34*Inputs!C10</f>
        <v>123750</v>
      </c>
      <c r="M34" s="15" t="n">
        <f aca="false">IF($B34=0,0,Inputs!C11*Inputs!C12*Inputs!C13/12*IF($B34=1,Inputs!C14,1))</f>
        <v>31250</v>
      </c>
      <c r="N34" s="15" t="n">
        <f aca="false">IF($A34&lt;=Inputs!C16,Inputs!C15/Inputs!C16,Inputs!C17/12)</f>
        <v>23333.3333333333</v>
      </c>
      <c r="O34" s="15" t="n">
        <f aca="false">L34+M34-N34</f>
        <v>131666.666666667</v>
      </c>
      <c r="P34" s="15" t="n">
        <f aca="false">P33+O34</f>
        <v>1578500</v>
      </c>
      <c r="Q34" s="15" t="n">
        <f aca="false">O34/(1+Inputs!C18)^($A34/12)</f>
        <v>99181.5255890231</v>
      </c>
      <c r="R34" s="13" t="n">
        <f aca="false">IF(P34&gt;0,$A34,"")</f>
        <v>30</v>
      </c>
    </row>
    <row r="35" customFormat="false" ht="15" hidden="false" customHeight="false" outlineLevel="0" collapsed="false">
      <c r="A35" s="13" t="n">
        <v>31</v>
      </c>
      <c r="B35" s="13" t="n">
        <f aca="false">IF(A35&lt;=Inputs!$B$16,0,MIN(3,INT((A35-Inputs!$B$16-1)/12)+1))</f>
        <v>3</v>
      </c>
      <c r="C35" s="14" t="n">
        <f aca="false">CHOOSE($B35+1,0,Inputs!B7,Inputs!B8,Inputs!B9)</f>
        <v>0.8</v>
      </c>
      <c r="D35" s="15" t="n">
        <f aca="false">Inputs!B5*Inputs!B6*C35*Inputs!B10</f>
        <v>84000</v>
      </c>
      <c r="E35" s="15" t="n">
        <f aca="false">IF($B35=0,0,Inputs!B11*Inputs!B12*Inputs!B13/12*IF($B35=1,Inputs!B14,1))</f>
        <v>12500</v>
      </c>
      <c r="F35" s="15" t="n">
        <f aca="false">IF($A35&lt;=Inputs!B16,Inputs!B15/Inputs!B16,Inputs!B17/12)</f>
        <v>23333.3333333333</v>
      </c>
      <c r="G35" s="15" t="n">
        <f aca="false">D35+E35-F35</f>
        <v>73166.6666666667</v>
      </c>
      <c r="H35" s="15" t="n">
        <f aca="false">H34+G35</f>
        <v>135166.666666666</v>
      </c>
      <c r="I35" s="15" t="n">
        <f aca="false">G35/(1+Inputs!B18)^($A35/12)</f>
        <v>54596.7399706308</v>
      </c>
      <c r="J35" s="13" t="n">
        <f aca="false">IF(H35&gt;0,$A35,"")</f>
        <v>31</v>
      </c>
      <c r="K35" s="14" t="n">
        <f aca="false">CHOOSE($B35+1,0,Inputs!C7,Inputs!C8,Inputs!C9)</f>
        <v>0.9</v>
      </c>
      <c r="L35" s="15" t="n">
        <f aca="false">Inputs!C5*Inputs!C6*K35*Inputs!C10</f>
        <v>148500</v>
      </c>
      <c r="M35" s="15" t="n">
        <f aca="false">IF($B35=0,0,Inputs!C11*Inputs!C12*Inputs!C13/12*IF($B35=1,Inputs!C14,1))</f>
        <v>31250</v>
      </c>
      <c r="N35" s="15" t="n">
        <f aca="false">IF($A35&lt;=Inputs!C16,Inputs!C15/Inputs!C16,Inputs!C17/12)</f>
        <v>23333.3333333333</v>
      </c>
      <c r="O35" s="15" t="n">
        <f aca="false">L35+M35-N35</f>
        <v>156416.666666667</v>
      </c>
      <c r="P35" s="15" t="n">
        <f aca="false">P34+O35</f>
        <v>1734916.66666667</v>
      </c>
      <c r="Q35" s="15" t="n">
        <f aca="false">O35/(1+Inputs!C18)^($A35/12)</f>
        <v>116717.632032886</v>
      </c>
      <c r="R35" s="13" t="n">
        <f aca="false">IF(P35&gt;0,$A35,"")</f>
        <v>31</v>
      </c>
    </row>
    <row r="36" customFormat="false" ht="15" hidden="false" customHeight="false" outlineLevel="0" collapsed="false">
      <c r="A36" s="13" t="n">
        <v>32</v>
      </c>
      <c r="B36" s="13" t="n">
        <f aca="false">IF(A36&lt;=Inputs!$B$16,0,MIN(3,INT((A36-Inputs!$B$16-1)/12)+1))</f>
        <v>3</v>
      </c>
      <c r="C36" s="14" t="n">
        <f aca="false">CHOOSE($B36+1,0,Inputs!B7,Inputs!B8,Inputs!B9)</f>
        <v>0.8</v>
      </c>
      <c r="D36" s="15" t="n">
        <f aca="false">Inputs!B5*Inputs!B6*C36*Inputs!B10</f>
        <v>84000</v>
      </c>
      <c r="E36" s="15" t="n">
        <f aca="false">IF($B36=0,0,Inputs!B11*Inputs!B12*Inputs!B13/12*IF($B36=1,Inputs!B14,1))</f>
        <v>12500</v>
      </c>
      <c r="F36" s="15" t="n">
        <f aca="false">IF($A36&lt;=Inputs!B16,Inputs!B15/Inputs!B16,Inputs!B17/12)</f>
        <v>23333.3333333333</v>
      </c>
      <c r="G36" s="15" t="n">
        <f aca="false">D36+E36-F36</f>
        <v>73166.6666666667</v>
      </c>
      <c r="H36" s="15" t="n">
        <f aca="false">H35+G36</f>
        <v>208333.333333333</v>
      </c>
      <c r="I36" s="15" t="n">
        <f aca="false">G36/(1+Inputs!B18)^($A36/12)</f>
        <v>54083.5523412975</v>
      </c>
      <c r="J36" s="13" t="n">
        <f aca="false">IF(H36&gt;0,$A36,"")</f>
        <v>32</v>
      </c>
      <c r="K36" s="14" t="n">
        <f aca="false">CHOOSE($B36+1,0,Inputs!C7,Inputs!C8,Inputs!C9)</f>
        <v>0.9</v>
      </c>
      <c r="L36" s="15" t="n">
        <f aca="false">Inputs!C5*Inputs!C6*K36*Inputs!C10</f>
        <v>148500</v>
      </c>
      <c r="M36" s="15" t="n">
        <f aca="false">IF($B36=0,0,Inputs!C11*Inputs!C12*Inputs!C13/12*IF($B36=1,Inputs!C14,1))</f>
        <v>31250</v>
      </c>
      <c r="N36" s="15" t="n">
        <f aca="false">IF($A36&lt;=Inputs!C16,Inputs!C15/Inputs!C16,Inputs!C17/12)</f>
        <v>23333.3333333333</v>
      </c>
      <c r="O36" s="15" t="n">
        <f aca="false">L36+M36-N36</f>
        <v>156416.666666667</v>
      </c>
      <c r="P36" s="15" t="n">
        <f aca="false">P35+O36</f>
        <v>1891333.33333333</v>
      </c>
      <c r="Q36" s="15" t="n">
        <f aca="false">O36/(1+Inputs!C18)^($A36/12)</f>
        <v>115620.532738742</v>
      </c>
      <c r="R36" s="13" t="n">
        <f aca="false">IF(P36&gt;0,$A36,"")</f>
        <v>32</v>
      </c>
    </row>
    <row r="37" customFormat="false" ht="15" hidden="false" customHeight="false" outlineLevel="0" collapsed="false">
      <c r="A37" s="13" t="n">
        <v>33</v>
      </c>
      <c r="B37" s="13" t="n">
        <f aca="false">IF(A37&lt;=Inputs!$B$16,0,MIN(3,INT((A37-Inputs!$B$16-1)/12)+1))</f>
        <v>3</v>
      </c>
      <c r="C37" s="14" t="n">
        <f aca="false">CHOOSE($B37+1,0,Inputs!B7,Inputs!B8,Inputs!B9)</f>
        <v>0.8</v>
      </c>
      <c r="D37" s="15" t="n">
        <f aca="false">Inputs!B5*Inputs!B6*C37*Inputs!B10</f>
        <v>84000</v>
      </c>
      <c r="E37" s="15" t="n">
        <f aca="false">IF($B37=0,0,Inputs!B11*Inputs!B12*Inputs!B13/12*IF($B37=1,Inputs!B14,1))</f>
        <v>12500</v>
      </c>
      <c r="F37" s="15" t="n">
        <f aca="false">IF($A37&lt;=Inputs!B16,Inputs!B15/Inputs!B16,Inputs!B17/12)</f>
        <v>23333.3333333333</v>
      </c>
      <c r="G37" s="15" t="n">
        <f aca="false">D37+E37-F37</f>
        <v>73166.6666666667</v>
      </c>
      <c r="H37" s="15" t="n">
        <f aca="false">H36+G37</f>
        <v>281500</v>
      </c>
      <c r="I37" s="15" t="n">
        <f aca="false">G37/(1+Inputs!B18)^($A37/12)</f>
        <v>53575.1884714606</v>
      </c>
      <c r="J37" s="13" t="n">
        <f aca="false">IF(H37&gt;0,$A37,"")</f>
        <v>33</v>
      </c>
      <c r="K37" s="14" t="n">
        <f aca="false">CHOOSE($B37+1,0,Inputs!C7,Inputs!C8,Inputs!C9)</f>
        <v>0.9</v>
      </c>
      <c r="L37" s="15" t="n">
        <f aca="false">Inputs!C5*Inputs!C6*K37*Inputs!C10</f>
        <v>148500</v>
      </c>
      <c r="M37" s="15" t="n">
        <f aca="false">IF($B37=0,0,Inputs!C11*Inputs!C12*Inputs!C13/12*IF($B37=1,Inputs!C14,1))</f>
        <v>31250</v>
      </c>
      <c r="N37" s="15" t="n">
        <f aca="false">IF($A37&lt;=Inputs!C16,Inputs!C15/Inputs!C16,Inputs!C17/12)</f>
        <v>23333.3333333333</v>
      </c>
      <c r="O37" s="15" t="n">
        <f aca="false">L37+M37-N37</f>
        <v>156416.666666667</v>
      </c>
      <c r="P37" s="15" t="n">
        <f aca="false">P36+O37</f>
        <v>2047750</v>
      </c>
      <c r="Q37" s="15" t="n">
        <f aca="false">O37/(1+Inputs!C18)^($A37/12)</f>
        <v>114533.74574138</v>
      </c>
      <c r="R37" s="13" t="n">
        <f aca="false">IF(P37&gt;0,$A37,"")</f>
        <v>33</v>
      </c>
    </row>
    <row r="38" customFormat="false" ht="15" hidden="false" customHeight="false" outlineLevel="0" collapsed="false">
      <c r="A38" s="13" t="n">
        <v>34</v>
      </c>
      <c r="B38" s="13" t="n">
        <f aca="false">IF(A38&lt;=Inputs!$B$16,0,MIN(3,INT((A38-Inputs!$B$16-1)/12)+1))</f>
        <v>3</v>
      </c>
      <c r="C38" s="14" t="n">
        <f aca="false">CHOOSE($B38+1,0,Inputs!B7,Inputs!B8,Inputs!B9)</f>
        <v>0.8</v>
      </c>
      <c r="D38" s="15" t="n">
        <f aca="false">Inputs!B5*Inputs!B6*C38*Inputs!B10</f>
        <v>84000</v>
      </c>
      <c r="E38" s="15" t="n">
        <f aca="false">IF($B38=0,0,Inputs!B11*Inputs!B12*Inputs!B13/12*IF($B38=1,Inputs!B14,1))</f>
        <v>12500</v>
      </c>
      <c r="F38" s="15" t="n">
        <f aca="false">IF($A38&lt;=Inputs!B16,Inputs!B15/Inputs!B16,Inputs!B17/12)</f>
        <v>23333.3333333333</v>
      </c>
      <c r="G38" s="15" t="n">
        <f aca="false">D38+E38-F38</f>
        <v>73166.6666666667</v>
      </c>
      <c r="H38" s="15" t="n">
        <f aca="false">H37+G38</f>
        <v>354666.666666666</v>
      </c>
      <c r="I38" s="15" t="n">
        <f aca="false">G38/(1+Inputs!B18)^($A38/12)</f>
        <v>53071.6030197003</v>
      </c>
      <c r="J38" s="13" t="n">
        <f aca="false">IF(H38&gt;0,$A38,"")</f>
        <v>34</v>
      </c>
      <c r="K38" s="14" t="n">
        <f aca="false">CHOOSE($B38+1,0,Inputs!C7,Inputs!C8,Inputs!C9)</f>
        <v>0.9</v>
      </c>
      <c r="L38" s="15" t="n">
        <f aca="false">Inputs!C5*Inputs!C6*K38*Inputs!C10</f>
        <v>148500</v>
      </c>
      <c r="M38" s="15" t="n">
        <f aca="false">IF($B38=0,0,Inputs!C11*Inputs!C12*Inputs!C13/12*IF($B38=1,Inputs!C14,1))</f>
        <v>31250</v>
      </c>
      <c r="N38" s="15" t="n">
        <f aca="false">IF($A38&lt;=Inputs!C16,Inputs!C15/Inputs!C16,Inputs!C17/12)</f>
        <v>23333.3333333333</v>
      </c>
      <c r="O38" s="15" t="n">
        <f aca="false">L38+M38-N38</f>
        <v>156416.666666667</v>
      </c>
      <c r="P38" s="15" t="n">
        <f aca="false">P37+O38</f>
        <v>2204166.66666667</v>
      </c>
      <c r="Q38" s="15" t="n">
        <f aca="false">O38/(1+Inputs!C18)^($A38/12)</f>
        <v>113457.174109314</v>
      </c>
      <c r="R38" s="13" t="n">
        <f aca="false">IF(P38&gt;0,$A38,"")</f>
        <v>34</v>
      </c>
    </row>
    <row r="39" customFormat="false" ht="15" hidden="false" customHeight="false" outlineLevel="0" collapsed="false">
      <c r="A39" s="13" t="n">
        <v>35</v>
      </c>
      <c r="B39" s="13" t="n">
        <f aca="false">IF(A39&lt;=Inputs!$B$16,0,MIN(3,INT((A39-Inputs!$B$16-1)/12)+1))</f>
        <v>3</v>
      </c>
      <c r="C39" s="14" t="n">
        <f aca="false">CHOOSE($B39+1,0,Inputs!B7,Inputs!B8,Inputs!B9)</f>
        <v>0.8</v>
      </c>
      <c r="D39" s="15" t="n">
        <f aca="false">Inputs!B5*Inputs!B6*C39*Inputs!B10</f>
        <v>84000</v>
      </c>
      <c r="E39" s="15" t="n">
        <f aca="false">IF($B39=0,0,Inputs!B11*Inputs!B12*Inputs!B13/12*IF($B39=1,Inputs!B14,1))</f>
        <v>12500</v>
      </c>
      <c r="F39" s="15" t="n">
        <f aca="false">IF($A39&lt;=Inputs!B16,Inputs!B15/Inputs!B16,Inputs!B17/12)</f>
        <v>23333.3333333333</v>
      </c>
      <c r="G39" s="15" t="n">
        <f aca="false">D39+E39-F39</f>
        <v>73166.6666666667</v>
      </c>
      <c r="H39" s="15" t="n">
        <f aca="false">H38+G39</f>
        <v>427833.333333333</v>
      </c>
      <c r="I39" s="15" t="n">
        <f aca="false">G39/(1+Inputs!B18)^($A39/12)</f>
        <v>52572.7510707882</v>
      </c>
      <c r="J39" s="13" t="n">
        <f aca="false">IF(H39&gt;0,$A39,"")</f>
        <v>35</v>
      </c>
      <c r="K39" s="14" t="n">
        <f aca="false">CHOOSE($B39+1,0,Inputs!C7,Inputs!C8,Inputs!C9)</f>
        <v>0.9</v>
      </c>
      <c r="L39" s="15" t="n">
        <f aca="false">Inputs!C5*Inputs!C6*K39*Inputs!C10</f>
        <v>148500</v>
      </c>
      <c r="M39" s="15" t="n">
        <f aca="false">IF($B39=0,0,Inputs!C11*Inputs!C12*Inputs!C13/12*IF($B39=1,Inputs!C14,1))</f>
        <v>31250</v>
      </c>
      <c r="N39" s="15" t="n">
        <f aca="false">IF($A39&lt;=Inputs!C16,Inputs!C15/Inputs!C16,Inputs!C17/12)</f>
        <v>23333.3333333333</v>
      </c>
      <c r="O39" s="15" t="n">
        <f aca="false">L39+M39-N39</f>
        <v>156416.666666667</v>
      </c>
      <c r="P39" s="15" t="n">
        <f aca="false">P38+O39</f>
        <v>2360583.33333333</v>
      </c>
      <c r="Q39" s="15" t="n">
        <f aca="false">O39/(1+Inputs!C18)^($A39/12)</f>
        <v>112390.721822175</v>
      </c>
      <c r="R39" s="13" t="n">
        <f aca="false">IF(P39&gt;0,$A39,"")</f>
        <v>35</v>
      </c>
    </row>
    <row r="40" customFormat="false" ht="15" hidden="false" customHeight="false" outlineLevel="0" collapsed="false">
      <c r="A40" s="13" t="n">
        <v>36</v>
      </c>
      <c r="B40" s="13" t="n">
        <f aca="false">IF(A40&lt;=Inputs!$B$16,0,MIN(3,INT((A40-Inputs!$B$16-1)/12)+1))</f>
        <v>3</v>
      </c>
      <c r="C40" s="14" t="n">
        <f aca="false">CHOOSE($B40+1,0,Inputs!B7,Inputs!B8,Inputs!B9)</f>
        <v>0.8</v>
      </c>
      <c r="D40" s="15" t="n">
        <f aca="false">Inputs!B5*Inputs!B6*C40*Inputs!B10</f>
        <v>84000</v>
      </c>
      <c r="E40" s="15" t="n">
        <f aca="false">IF($B40=0,0,Inputs!B11*Inputs!B12*Inputs!B13/12*IF($B40=1,Inputs!B14,1))</f>
        <v>12500</v>
      </c>
      <c r="F40" s="15" t="n">
        <f aca="false">IF($A40&lt;=Inputs!B16,Inputs!B15/Inputs!B16,Inputs!B17/12)</f>
        <v>23333.3333333333</v>
      </c>
      <c r="G40" s="15" t="n">
        <f aca="false">D40+E40-F40</f>
        <v>73166.6666666667</v>
      </c>
      <c r="H40" s="15" t="n">
        <f aca="false">H39+G40</f>
        <v>501000</v>
      </c>
      <c r="I40" s="15" t="n">
        <f aca="false">G40/(1+Inputs!B18)^($A40/12)</f>
        <v>52078.5881316812</v>
      </c>
      <c r="J40" s="13" t="n">
        <f aca="false">IF(H40&gt;0,$A40,"")</f>
        <v>36</v>
      </c>
      <c r="K40" s="14" t="n">
        <f aca="false">CHOOSE($B40+1,0,Inputs!C7,Inputs!C8,Inputs!C9)</f>
        <v>0.9</v>
      </c>
      <c r="L40" s="15" t="n">
        <f aca="false">Inputs!C5*Inputs!C6*K40*Inputs!C10</f>
        <v>148500</v>
      </c>
      <c r="M40" s="15" t="n">
        <f aca="false">IF($B40=0,0,Inputs!C11*Inputs!C12*Inputs!C13/12*IF($B40=1,Inputs!C14,1))</f>
        <v>31250</v>
      </c>
      <c r="N40" s="15" t="n">
        <f aca="false">IF($A40&lt;=Inputs!C16,Inputs!C15/Inputs!C16,Inputs!C17/12)</f>
        <v>23333.3333333333</v>
      </c>
      <c r="O40" s="15" t="n">
        <f aca="false">L40+M40-N40</f>
        <v>156416.666666667</v>
      </c>
      <c r="P40" s="15" t="n">
        <f aca="false">P39+O40</f>
        <v>2517000</v>
      </c>
      <c r="Q40" s="15" t="n">
        <f aca="false">O40/(1+Inputs!C18)^($A40/12)</f>
        <v>111334.293762148</v>
      </c>
      <c r="R40" s="13" t="n">
        <f aca="false">IF(P40&gt;0,$A40,"")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6" t="s">
        <v>65</v>
      </c>
    </row>
    <row r="2" customFormat="false" ht="15" hidden="false" customHeight="false" outlineLevel="0" collapsed="false">
      <c r="A2" s="17" t="s">
        <v>66</v>
      </c>
    </row>
    <row r="3" customFormat="false" ht="26.85" hidden="false" customHeight="false" outlineLevel="0" collapsed="false">
      <c r="A3" s="17" t="s">
        <v>67</v>
      </c>
    </row>
    <row r="4" customFormat="false" ht="15" hidden="false" customHeight="false" outlineLevel="0" collapsed="false">
      <c r="A4" s="17" t="s">
        <v>68</v>
      </c>
    </row>
    <row r="5" customFormat="false" ht="15" hidden="false" customHeight="false" outlineLevel="0" collapsed="false">
      <c r="A5" s="17" t="s">
        <v>69</v>
      </c>
    </row>
    <row r="6" customFormat="false" ht="15" hidden="false" customHeight="false" outlineLevel="0" collapsed="false">
      <c r="A6" s="17" t="s">
        <v>70</v>
      </c>
    </row>
    <row r="7" customFormat="false" ht="15" hidden="false" customHeight="false" outlineLevel="0" collapsed="false">
      <c r="A7" s="17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2026-10-15T05:02:03Z</dcterms:created>
  <dc:creator>openpyxl</dc:creator>
  <dc:description/>
  <dc:language>en-US</dc:language>
  <cp:lastModifiedBy/>
  <dcterms:modified xsi:type="dcterms:W3CDTF">2026-10-15T05:02:03Z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